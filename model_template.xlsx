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1.xml" ContentType="application/vnd.openxmlformats-officedocument.drawing+xml"/>
  <Override PartName="/xl/drawings/vmlDrawing4.vml" ContentType="application/vnd.openxmlformats-officedocument.vmlDrawing"/>
  <Override PartName="/xl/drawings/_rels/drawing1.xml.rels" ContentType="application/vnd.openxmlformats-package.relationships+xml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7.xml" ContentType="application/vnd.openxmlformats-officedocument.spreadsheetml.comments+xml"/>
  <Override PartName="/xl/workbook.xml" ContentType="application/vnd.openxmlformats-officedocument.spreadsheetml.sheet.m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IS" sheetId="3" state="visible" r:id="rId5"/>
    <sheet name="BS" sheetId="4" state="visible" r:id="rId6"/>
    <sheet name="CF" sheetId="5" state="visible" r:id="rId7"/>
    <sheet name="Ratios" sheetId="6" state="visible" r:id="rId8"/>
    <sheet name="DCF" sheetId="7" state="visible" r:id="rId9"/>
    <sheet name="Comps" sheetId="8" state="visible" r:id="rId10"/>
    <sheet name="Dashboard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6" authorId="0">
      <text>
        <r>
          <rPr>
            <sz val="10"/>
            <rFont val="Arial"/>
            <family val="2"/>
          </rPr>
          <t xml:space="preserve">Analyst forecast. Reflects moderating IT services demand growth amid AI-led pricing/productivity pressure flagged across the sector in 2026 (e.g. Accenture guidance cuts, Indian IT sell-off Feb 2026). Adjust for updated guidance.</t>
        </r>
      </text>
    </comment>
    <comment ref="A9" authorId="0">
      <text>
        <r>
          <rPr>
            <sz val="10"/>
            <rFont val="Arial"/>
            <family val="2"/>
          </rPr>
          <t xml:space="preserve">Normalized capex assumption for an asset-light IT services model (campus/data-center capex smoothed); FY26 capex was unusually elevated.</t>
        </r>
      </text>
    </comment>
    <comment ref="C19" authorId="0">
      <text>
        <r>
          <rPr>
            <sz val="10"/>
            <rFont val="Arial"/>
            <family val="2"/>
          </rPr>
          <t xml:space="preserve">Source: Trading Economics / MacroMicro, India 10Y G-Sec yield ~6.72-6.76%, as of 1-3 Jul 2026.</t>
        </r>
      </text>
    </comment>
    <comment ref="C20" authorId="0">
      <text>
        <r>
          <rPr>
            <sz val="10"/>
            <rFont val="Arial"/>
            <family val="2"/>
          </rPr>
          <t xml:space="preserve">Illustrative India equity risk premium (mature market ERP + country risk premium), broadly consistent with Damodaran-style estimates. Adjust as needed.</t>
        </r>
      </text>
    </comment>
    <comment ref="C21" authorId="0">
      <text>
        <r>
          <rPr>
            <sz val="10"/>
            <rFont val="Arial"/>
            <family val="2"/>
          </rPr>
          <t xml:space="preserve">Reported beta estimates for TCS vary by source/window (~0.2 to ~1.15 across GuruFocus, TradingView, CNBC as of mid-2026). 0.90 used as a central, conservative estimate reflecting low leverage and defensive large-cap IT profile. Adjust as needed.</t>
        </r>
      </text>
    </comment>
    <comment ref="C23" authorId="0">
      <text>
        <r>
          <rPr>
            <sz val="10"/>
            <rFont val="Arial"/>
            <family val="2"/>
          </rPr>
          <t xml:space="preserve">Approximate cost of borrowing for a AAA-rated Indian corporate, in line with prevailing G-Sec + spread as of mid-2026.</t>
        </r>
      </text>
    </comment>
    <comment ref="C32" authorId="0">
      <text>
        <r>
          <rPr>
            <sz val="10"/>
            <rFont val="Arial"/>
            <family val="2"/>
          </rPr>
          <t xml:space="preserve">Long-run nominal terminal growth, broadly anchored to long-term India nominal GDP growth expectations; kept below WACC.</t>
        </r>
      </text>
    </comment>
    <comment ref="C35" authorId="0">
      <text>
        <r>
          <rPr>
            <sz val="10"/>
            <rFont val="Arial"/>
            <family val="2"/>
          </rPr>
          <t xml:space="preserve">Source: Company financials as compiled by Screener.in (screener.in/company/TCS), accessed Jul-2026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0" authorId="0">
      <text>
        <r>
          <rPr>
            <sz val="10"/>
            <rFont val="Arial"/>
            <family val="2"/>
          </rPr>
          <t xml:space="preserve">Source: Company financials as compiled by Screener.in (screener.in/company/TCS), accessed Jul-2026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6" authorId="0">
      <text>
        <r>
          <rPr>
            <sz val="10"/>
            <rFont val="Arial"/>
            <family val="2"/>
          </rPr>
          <t xml:space="preserve">Source: Company financials as compiled by Screener.in (screener.in/company/TCS), accessed Jul-2026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6" authorId="0">
      <text>
        <r>
          <rPr>
            <sz val="10"/>
            <rFont val="Arial"/>
            <family val="2"/>
          </rPr>
          <t xml:space="preserve">Source: Company financials as compiled by Screener.in (screener.in/company/TCS), accessed Jul-2026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5" authorId="0">
      <text>
        <r>
          <rPr>
            <sz val="10"/>
            <rFont val="Arial"/>
            <family val="2"/>
          </rPr>
          <t xml:space="preserve">Mid-year convention not applied; end-of-year discounting used for simplicity.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Source: Screener.in / company filings, TCS trailing multiples as of Jul-2026 (linked from Ratios sheet).</t>
        </r>
      </text>
    </comment>
    <comment ref="B7" authorId="0">
      <text>
        <r>
          <rPr>
            <sz val="10"/>
            <rFont val="Arial"/>
            <family val="2"/>
          </rPr>
          <t xml:space="preserve">Source: Public market data aggregators (StockAnalysis.com, FinanceCharts, GuruFocus), approx. as of Q1 2026 — trailing P/E ~15.8-18.3x, EV/EBITDA ~10.5-12.5x for Infosys. Update for latest prices.</t>
        </r>
      </text>
    </comment>
  </commentList>
</comments>
</file>

<file path=xl/sharedStrings.xml><?xml version="1.0" encoding="utf-8"?>
<sst xmlns="http://schemas.openxmlformats.org/spreadsheetml/2006/main" count="425" uniqueCount="251">
  <si>
    <t xml:space="preserve">TATA CONSULTANCY SERVICES LIMITED (NSE/BSE: TCS)</t>
  </si>
  <si>
    <t xml:space="preserve">Integrated Financial Model &amp; Intrinsic Valuation</t>
  </si>
  <si>
    <t xml:space="preserve">Three-Statement Model | DCF (FCFF) Valuation | Relative Valuation | Ratio Analysis</t>
  </si>
  <si>
    <t xml:space="preserve">Prepared for: Independent Equity Research / Illustrative Purposes</t>
  </si>
  <si>
    <t xml:space="preserve">Prepared: July 2026</t>
  </si>
  <si>
    <t xml:space="preserve">Currency: Indian Rupees (₹), figures in Crore (1 Cr = 10 million) unless stated otherwise</t>
  </si>
  <si>
    <t xml:space="preserve">Fiscal Year End: 31 March</t>
  </si>
  <si>
    <t xml:space="preserve">SNAPSHOT</t>
  </si>
  <si>
    <t xml:space="preserve">Current Market Price (₹)</t>
  </si>
  <si>
    <t xml:space="preserve">Shares Outstanding (Cr)</t>
  </si>
  <si>
    <t xml:space="preserve">Market Capitalization (₹ Cr)</t>
  </si>
  <si>
    <t xml:space="preserve">52-Week Range / Sector</t>
  </si>
  <si>
    <t xml:space="preserve">IT Services — Nifty IT</t>
  </si>
  <si>
    <t xml:space="preserve">CONTENTS</t>
  </si>
  <si>
    <t xml:space="preserve">1. Assumptions &amp; Cost of Capital</t>
  </si>
  <si>
    <t xml:space="preserve">2. Income Statement</t>
  </si>
  <si>
    <t xml:space="preserve">3. Balance Sheet</t>
  </si>
  <si>
    <t xml:space="preserve">4. Cash Flow Statement</t>
  </si>
  <si>
    <t xml:space="preserve">5. Ratio Analysis</t>
  </si>
  <si>
    <t xml:space="preserve">6. DCF Valuation (FCFF)</t>
  </si>
  <si>
    <t xml:space="preserve">7. Relative Valuation (Comps)</t>
  </si>
  <si>
    <t xml:space="preserve">8. Dashboard &amp; Football Field</t>
  </si>
  <si>
    <t xml:space="preserve">Color Legend:  Blue = hardcoded input / historical actual figure.   Black = formula / calculation.   Green = link pulling from another worksheet.
Disclaimer: This model is built from publicly available historical financial data and is intended for illustrative / educational purposes. Projections and assumptions (growth, margins, WACC inputs) are estimates and should be independently verified before use in an investment decision. This is not investment advice.</t>
  </si>
  <si>
    <t xml:space="preserve">TCS — Model Assumptions &amp; Cost of Capital</t>
  </si>
  <si>
    <t xml:space="preserve">Historical ratios are calculated from reported financials (green). Projection-period cells in blue are analyst inputs — change them to run scenarios.</t>
  </si>
  <si>
    <t xml:space="preserve">1. OPERATING &amp; WORKING CAPITAL ASSUMPTIONS  (₹ Crore basis, ratios shown as %)</t>
  </si>
  <si>
    <t xml:space="preserve">(₹ Crore, unless stated otherwise)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</si>
  <si>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</si>
  <si>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</si>
  <si>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</si>
  <si>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</si>
  <si>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</si>
  <si>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</si>
  <si>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</si>
  <si>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</si>
  <si>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</si>
  <si>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</si>
  <si>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</si>
  <si>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</si>
  <si>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</si>
  <si>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</si>
  <si>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</si>
  <si>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Revenue growth % (YoY)</t>
  </si>
  <si>
    <t xml:space="preserve">EBITDA margin %</t>
  </si>
  <si>
    <t xml:space="preserve">Depreciation &amp; amortization (% of sales)</t>
  </si>
  <si>
    <t xml:space="preserve">Capital expenditure (% of sales)</t>
  </si>
  <si>
    <t xml:space="preserve">Effective tax rate %</t>
  </si>
  <si>
    <t xml:space="preserve">Receivable days (DSO)</t>
  </si>
  <si>
    <t xml:space="preserve">Other liabilities (% of sales)</t>
  </si>
  <si>
    <t xml:space="preserve">Other assets, net (% of sales)</t>
  </si>
  <si>
    <t xml:space="preserve">Dividend payout ratio (% of PAT)</t>
  </si>
  <si>
    <t xml:space="preserve">Interest rate on borrowings (%)</t>
  </si>
  <si>
    <t xml:space="preserve">Yield on cash &amp; investments (%)</t>
  </si>
  <si>
    <t xml:space="preserve">2. COST OF CAPITAL (WACC) — SINGLE-POINT INPUTS</t>
  </si>
  <si>
    <t xml:space="preserve">Risk-free rate (India 10-Yr G-Sec yield)</t>
  </si>
  <si>
    <t xml:space="preserve">Equity risk premium (India)</t>
  </si>
  <si>
    <t xml:space="preserve">Levered beta</t>
  </si>
  <si>
    <t xml:space="preserve">Cost of equity (CAPM) = Rf + β × ERP</t>
  </si>
  <si>
    <t xml:space="preserve">Pre-tax cost of debt</t>
  </si>
  <si>
    <t xml:space="preserve">Tax rate (for WACC)</t>
  </si>
  <si>
    <t xml:space="preserve">After-tax cost of debt</t>
  </si>
  <si>
    <t xml:space="preserve">Market value of equity (current market cap, ₹ Cr)</t>
  </si>
  <si>
    <t xml:space="preserve">Total debt (FY2026A, ₹ Cr)</t>
  </si>
  <si>
    <t xml:space="preserve">Weight of equity</t>
  </si>
  <si>
    <t xml:space="preserve">Weight of debt</t>
  </si>
  <si>
    <t xml:space="preserve">WACC</t>
  </si>
  <si>
    <t xml:space="preserve">Terminal growth rate (g)</t>
  </si>
  <si>
    <t xml:space="preserve">3. CURRENT MARKET DATA</t>
  </si>
  <si>
    <t xml:space="preserve">Current share price (₹)</t>
  </si>
  <si>
    <t xml:space="preserve">Market capitalization (₹ Cr)</t>
  </si>
  <si>
    <t xml:space="preserve">Shares outstanding (Cr)</t>
  </si>
  <si>
    <t xml:space="preserve">Face value per share (₹)</t>
  </si>
  <si>
    <t xml:space="preserve">Income Statement</t>
  </si>
  <si>
    <t xml:space="preserve">Tata Consultancy Services Ltd. (Consolidated)</t>
  </si>
  <si>
    <t xml:space="preserve">INCOME STATEMENT</t>
  </si>
  <si>
    <t xml:space="preserve">Revenue from Operations</t>
  </si>
  <si>
    <t xml:space="preserve">  Growth % YoY</t>
  </si>
  <si>
    <t xml:space="preserve">Operating Expenses</t>
  </si>
  <si>
    <t xml:space="preserve">Employee Costs</t>
  </si>
  <si>
    <t xml:space="preserve">n/a — modeled at aggregate EBITDA margin (see row 14)</t>
  </si>
  <si>
    <t xml:space="preserve">Cost of Materials &amp; Other Direct Costs</t>
  </si>
  <si>
    <t xml:space="preserve">Selling, General &amp; Admin. Expenses</t>
  </si>
  <si>
    <t xml:space="preserve">Other Expenses</t>
  </si>
  <si>
    <t xml:space="preserve">Total Operating Expenses</t>
  </si>
  <si>
    <t xml:space="preserve">EBITDA</t>
  </si>
  <si>
    <t xml:space="preserve">  EBITDA Margin %</t>
  </si>
  <si>
    <t xml:space="preserve">Other Income</t>
  </si>
  <si>
    <t xml:space="preserve">Less: Depreciation &amp; Amortization</t>
  </si>
  <si>
    <t xml:space="preserve">EBIT</t>
  </si>
  <si>
    <t xml:space="preserve">Less: Interest Expense</t>
  </si>
  <si>
    <t xml:space="preserve">Profit Before Tax (PBT)</t>
  </si>
  <si>
    <t xml:space="preserve">Less: Tax Expense</t>
  </si>
  <si>
    <t xml:space="preserve">  Effective Tax Rate %</t>
  </si>
  <si>
    <t xml:space="preserve">Net Profit After Tax (PAT)</t>
  </si>
  <si>
    <t xml:space="preserve">  Net Profit Margin %</t>
  </si>
  <si>
    <t xml:space="preserve">Dividends Paid</t>
  </si>
  <si>
    <t xml:space="preserve">Retained Earnings</t>
  </si>
  <si>
    <t xml:space="preserve">PER SHARE DATA</t>
  </si>
  <si>
    <t xml:space="preserve">Weighted Avg. Shares Outstanding (Cr)</t>
  </si>
  <si>
    <t xml:space="preserve">Earnings Per Share — Basic (₹)</t>
  </si>
  <si>
    <t xml:space="preserve">Dividend Per Share (₹)</t>
  </si>
  <si>
    <t xml:space="preserve">Balance Sheet</t>
  </si>
  <si>
    <t xml:space="preserve">ASSETS</t>
  </si>
  <si>
    <t xml:space="preserve">Net Block (Fixed Assets)</t>
  </si>
  <si>
    <t xml:space="preserve">Capital Work-in-Progress</t>
  </si>
  <si>
    <t xml:space="preserve">Investments</t>
  </si>
  <si>
    <t xml:space="preserve">Trade Receivables</t>
  </si>
  <si>
    <t xml:space="preserve">Inventory</t>
  </si>
  <si>
    <t xml:space="preserve">Cash &amp; Bank Balances</t>
  </si>
  <si>
    <t xml:space="preserve">Other Assets, net (unbilled rev., prepaid, DTA, other)</t>
  </si>
  <si>
    <t xml:space="preserve">Total Assets</t>
  </si>
  <si>
    <t xml:space="preserve">LIABILITIES &amp; EQUITY</t>
  </si>
  <si>
    <t xml:space="preserve">Equity Share Capital</t>
  </si>
  <si>
    <t xml:space="preserve">Reserves &amp; Surplus</t>
  </si>
  <si>
    <t xml:space="preserve">Borrowings</t>
  </si>
  <si>
    <t xml:space="preserve">Other Liabilities &amp; Provisions</t>
  </si>
  <si>
    <t xml:space="preserve">Total Liabilities &amp; Equity</t>
  </si>
  <si>
    <t xml:space="preserve">Balance Check (Assets − Liab. &amp; Equity)</t>
  </si>
  <si>
    <t xml:space="preserve">WORKING CAPITAL &amp; OTHER MEMO ITEMS</t>
  </si>
  <si>
    <t xml:space="preserve">Net Working Capital (Receiv. + Inv. − Other Liab.)</t>
  </si>
  <si>
    <t xml:space="preserve">Net Debt / (Net Cash)</t>
  </si>
  <si>
    <t xml:space="preserve">Book Value Per Share (₹)</t>
  </si>
  <si>
    <t xml:space="preserve">Cash Flow Statement</t>
  </si>
  <si>
    <t xml:space="preserve">A. CASH FLOW — AS REPORTED (HISTORICAL ACTUALS)</t>
  </si>
  <si>
    <t xml:space="preserve">Cash Flow from Operating Activities</t>
  </si>
  <si>
    <t xml:space="preserve">—</t>
  </si>
  <si>
    <t xml:space="preserve">Cash Flow from Investing Activities</t>
  </si>
  <si>
    <t xml:space="preserve">Cash Flow from Financing Activities</t>
  </si>
  <si>
    <t xml:space="preserve">Net Increase / (Decrease) in Cash</t>
  </si>
  <si>
    <t xml:space="preserve">Opening Cash Balance</t>
  </si>
  <si>
    <t xml:space="preserve">n/a</t>
  </si>
  <si>
    <t xml:space="preserve">Closing Cash Balance (check vs. Balance Sheet)</t>
  </si>
  <si>
    <t xml:space="preserve">B. CASH FLOW — PROJECTED / MODEL-DERIVED (INDIRECT METHOD, ALL PERIODS)</t>
  </si>
  <si>
    <t xml:space="preserve">Net Profit After Tax</t>
  </si>
  <si>
    <t xml:space="preserve">Add: Depreciation &amp; Amortization</t>
  </si>
  <si>
    <t xml:space="preserve">Less: (Incr.)/Decr. in Receivables</t>
  </si>
  <si>
    <t xml:space="preserve">Less: (Incr.)/Decr. in Inventory</t>
  </si>
  <si>
    <t xml:space="preserve">Less: (Incr.)/Decr. in Other Assets</t>
  </si>
  <si>
    <t xml:space="preserve">Add: Incr./(Decr.) in Other Liabilities</t>
  </si>
  <si>
    <t xml:space="preserve">Cash Flow from Operating Activities (derived)</t>
  </si>
  <si>
    <t xml:space="preserve">Less: Capital Expenditure</t>
  </si>
  <si>
    <t xml:space="preserve">Less: Incr. in Investments</t>
  </si>
  <si>
    <t xml:space="preserve">Cash Flow from Investing Activities (derived)</t>
  </si>
  <si>
    <t xml:space="preserve">Add: Incr./(Decr.) in Borrowings</t>
  </si>
  <si>
    <t xml:space="preserve">Less: Dividends Paid</t>
  </si>
  <si>
    <t xml:space="preserve">Cash Flow from Financing Activities (derived)</t>
  </si>
  <si>
    <t xml:space="preserve">Net Increase / (Decrease) in Cash (derived)</t>
  </si>
  <si>
    <t xml:space="preserve">Closing Cash Balance (derived)</t>
  </si>
  <si>
    <t xml:space="preserve">Free Cash Flow to Firm (memo) — see DCF sheet for full build</t>
  </si>
  <si>
    <t xml:space="preserve">Ratio Analysis</t>
  </si>
  <si>
    <t xml:space="preserve">Tata Consultancy Services Ltd. — Historical &amp; Projected</t>
  </si>
  <si>
    <t xml:space="preserve">GROWTH</t>
  </si>
  <si>
    <t xml:space="preserve">Revenue Growth % YoY</t>
  </si>
  <si>
    <t xml:space="preserve">EBITDA Growth % YoY</t>
  </si>
  <si>
    <t xml:space="preserve">Net Profit Growth % YoY</t>
  </si>
  <si>
    <t xml:space="preserve">EPS Growth % YoY</t>
  </si>
  <si>
    <t xml:space="preserve">PROFITABILITY</t>
  </si>
  <si>
    <t xml:space="preserve">EBITDA Margin %</t>
  </si>
  <si>
    <t xml:space="preserve">EBIT Margin %</t>
  </si>
  <si>
    <t xml:space="preserve">Net Profit Margin %</t>
  </si>
  <si>
    <t xml:space="preserve">Return on Equity (ROE) %</t>
  </si>
  <si>
    <t xml:space="preserve">Return on Capital Employed (ROCE) %</t>
  </si>
  <si>
    <t xml:space="preserve">Return on Assets (ROA) %</t>
  </si>
  <si>
    <t xml:space="preserve">EFFICIENCY</t>
  </si>
  <si>
    <t xml:space="preserve">Receivable Days (DSO)</t>
  </si>
  <si>
    <t xml:space="preserve">Asset Turnover (x)</t>
  </si>
  <si>
    <t xml:space="preserve">Fixed Asset Turnover (x)</t>
  </si>
  <si>
    <t xml:space="preserve">LEVERAGE &amp; COVERAGE</t>
  </si>
  <si>
    <t xml:space="preserve">Debt / Equity (x)</t>
  </si>
  <si>
    <t xml:space="preserve">Debt / EBITDA (x)</t>
  </si>
  <si>
    <t xml:space="preserve">Interest Coverage Ratio (x)</t>
  </si>
  <si>
    <t xml:space="preserve">Net Debt / EBITDA (x)</t>
  </si>
  <si>
    <t xml:space="preserve">PER SHARE &amp; VALUATION</t>
  </si>
  <si>
    <t xml:space="preserve">Market Price per Share (₹)</t>
  </si>
  <si>
    <t xml:space="preserve">Earnings Per Share (₹)</t>
  </si>
  <si>
    <t xml:space="preserve">P/E Ratio (x)</t>
  </si>
  <si>
    <t xml:space="preserve">Book Value per Share (₹)</t>
  </si>
  <si>
    <t xml:space="preserve">P/B Ratio (x)</t>
  </si>
  <si>
    <t xml:space="preserve">Dividend per Share (₹)</t>
  </si>
  <si>
    <t xml:space="preserve">Dividend Yield %</t>
  </si>
  <si>
    <t xml:space="preserve">EV / EBITDA (x)</t>
  </si>
  <si>
    <t xml:space="preserve">DCF Valuation — Free Cash Flow to Firm (FCFF)</t>
  </si>
  <si>
    <t xml:space="preserve">Tata Consultancy Services Ltd.</t>
  </si>
  <si>
    <t xml:space="preserve">FREE CASH FLOW TO FIRM PROJECTION</t>
  </si>
  <si>
    <t xml:space="preserve">Less: Taxes on EBIT (at effective tax rate)</t>
  </si>
  <si>
    <t xml:space="preserve">NOPAT (Tax-Effected EBIT)</t>
  </si>
  <si>
    <t xml:space="preserve">Less: Increase in Net Working Capital</t>
  </si>
  <si>
    <t xml:space="preserve">Free Cash Flow to Firm (FCFF)</t>
  </si>
  <si>
    <t xml:space="preserve">DISCOUNTING — PROJECTION PERIOD (FY2027E–FY2031E)</t>
  </si>
  <si>
    <t xml:space="preserve">Discount period (n, years)</t>
  </si>
  <si>
    <t xml:space="preserve">FCFF (₹ Cr)</t>
  </si>
  <si>
    <t xml:space="preserve">Discount Factor @ WACC</t>
  </si>
  <si>
    <t xml:space="preserve">Present Value of FCFF</t>
  </si>
  <si>
    <t xml:space="preserve">TERMINAL VALUE (GORDON GROWTH)</t>
  </si>
  <si>
    <t xml:space="preserve">Terminal Year FCFF (FY2031E)</t>
  </si>
  <si>
    <t xml:space="preserve">Terminal Growth Rate (g)</t>
  </si>
  <si>
    <t xml:space="preserve">Terminal Value = FCFF₅×(1+g) / (WACC−g)</t>
  </si>
  <si>
    <t xml:space="preserve">Discount Factor (Year 5)</t>
  </si>
  <si>
    <t xml:space="preserve">Present Value of Terminal Value</t>
  </si>
  <si>
    <t xml:space="preserve">ENTERPRISE VALUE → EQUITY VALUE BRIDGE</t>
  </si>
  <si>
    <t xml:space="preserve">Sum of PV of FCFF (FY27E–FY31E)</t>
  </si>
  <si>
    <t xml:space="preserve">Add: PV of Terminal Value</t>
  </si>
  <si>
    <t xml:space="preserve">Enterprise Value</t>
  </si>
  <si>
    <t xml:space="preserve">Less: Total Debt (FY2026A)</t>
  </si>
  <si>
    <t xml:space="preserve">Add: Cash &amp; Bank (FY2026A)</t>
  </si>
  <si>
    <t xml:space="preserve">Add: Investments (FY2026A)</t>
  </si>
  <si>
    <t xml:space="preserve">Equity Value</t>
  </si>
  <si>
    <t xml:space="preserve">Intrinsic Value per Share (₹)</t>
  </si>
  <si>
    <t xml:space="preserve">Upside / (Downside) %</t>
  </si>
  <si>
    <t xml:space="preserve">SENSITIVITY ANALYSIS — INTRINSIC VALUE PER SHARE (₹)</t>
  </si>
  <si>
    <t xml:space="preserve">WACC (↓) \ Terminal Growth (→)</t>
  </si>
  <si>
    <t xml:space="preserve">Relative Valuation — Peer Comparison</t>
  </si>
  <si>
    <t xml:space="preserve">Trailing multiples, Indian IT Services large-caps</t>
  </si>
  <si>
    <t xml:space="preserve">PEER TRADING MULTIPLES (TRAILING)</t>
  </si>
  <si>
    <t xml:space="preserve">Company</t>
  </si>
  <si>
    <t xml:space="preserve">Mkt Cap (₹ Cr)</t>
  </si>
  <si>
    <t xml:space="preserve">P/E (x)</t>
  </si>
  <si>
    <t xml:space="preserve">EV/EBITDA (x)</t>
  </si>
  <si>
    <t xml:space="preserve">P/B (x)</t>
  </si>
  <si>
    <t xml:space="preserve">ROE %</t>
  </si>
  <si>
    <t xml:space="preserve">Tata Consultancy Services (TCS)</t>
  </si>
  <si>
    <t xml:space="preserve">Infosys Ltd (INFY)</t>
  </si>
  <si>
    <t xml:space="preserve">HCLTechnologies Ltd (HCLTECH)</t>
  </si>
  <si>
    <t xml:space="preserve">Wipro Ltd (WIPRO)</t>
  </si>
  <si>
    <t xml:space="preserve">Peer Average (excl. TCS)</t>
  </si>
  <si>
    <t xml:space="preserve">IMPLIED VALUATION — TCS AT PEER-AVERAGE MULTIPLES</t>
  </si>
  <si>
    <t xml:space="preserve">Basis</t>
  </si>
  <si>
    <t xml:space="preserve">Multiple (x)</t>
  </si>
  <si>
    <t xml:space="preserve">TCS Metric (FY26A, ₹ Cr)</t>
  </si>
  <si>
    <t xml:space="preserve">Implied Value</t>
  </si>
  <si>
    <t xml:space="preserve">P/E × FY2026A EPS</t>
  </si>
  <si>
    <t xml:space="preserve">EV/EBITDA × FY2026A EBITDA (→ per share)</t>
  </si>
  <si>
    <t xml:space="preserve">DCF Intrinsic Value (₹) — see DCF sheet</t>
  </si>
  <si>
    <t xml:space="preserve">TCS — Valuation Dashboard</t>
  </si>
  <si>
    <t xml:space="preserve">Summary of Key Outputs</t>
  </si>
  <si>
    <t xml:space="preserve">VALUATION SUMMARY (₹ per share)</t>
  </si>
  <si>
    <t xml:space="preserve">Current Market Price</t>
  </si>
  <si>
    <t xml:space="preserve">DCF Intrinsic Value (Base Case)</t>
  </si>
  <si>
    <t xml:space="preserve">Implied Value — Peer P/E</t>
  </si>
  <si>
    <t xml:space="preserve">Implied Value — Peer EV/EBITDA</t>
  </si>
  <si>
    <t xml:space="preserve">DCF Upside / (Downside) vs. CMP</t>
  </si>
  <si>
    <t xml:space="preserve">KEY OPERATING METRICS (FY2026A vs. FY2031E)</t>
  </si>
  <si>
    <t xml:space="preserve">Metric</t>
  </si>
  <si>
    <t xml:space="preserve">FY2026A</t>
  </si>
  <si>
    <t xml:space="preserve">Revenue (₹ Cr)</t>
  </si>
  <si>
    <t xml:space="preserve">EBITDA (₹ Cr)</t>
  </si>
  <si>
    <t xml:space="preserve">Net Profit (₹ Cr)</t>
  </si>
  <si>
    <t xml:space="preserve">EPS (₹)</t>
  </si>
  <si>
    <t xml:space="preserve">Revenue CAGR FY2026A–FY2031E</t>
  </si>
  <si>
    <t xml:space="preserve">REVENUE &amp; EBITDA TREND (₹ CRORE)</t>
  </si>
  <si>
    <t xml:space="preserve">(chart below — historical FY2017 to projected FY2031E)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</si>
</sst>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\(#,##0\);\-"/>
    <numFmt numFmtId="166" formatCode="@"/>
    <numFmt numFmtId="167" formatCode="0.0%;\(0.0%\);\-"/>
    <numFmt numFmtId="168" formatCode="#,##0.0;\(#,##0.0\);\-"/>
    <numFmt numFmtId="169" formatCode="0.00%;\(0.00%\);\-"/>
    <numFmt numFmtId="170" formatCode="#,##0.00;\(#,##0.00\);\-"/>
    <numFmt numFmtId="171" formatCode="\₹#,##0.00;&quot;(₹&quot;#,##0.00\);\-"/>
    <numFmt numFmtId="172" formatCode="0.00\x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Arial"/>
      <family val="0"/>
      <charset val="1"/>
    </font>
    <font>
      <i val="true"/>
      <sz val="13"/>
      <color rgb="FF595959"/>
      <name val="Arial"/>
      <family val="0"/>
      <charset val="1"/>
    </font>
    <font>
      <sz val="10"/>
      <color rgb="FF80808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i val="true"/>
      <sz val="10"/>
      <color rgb="FF595959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i val="true"/>
      <sz val="10"/>
      <color rgb="FF000000"/>
      <name val="Arial"/>
      <family val="0"/>
      <charset val="1"/>
    </font>
    <font>
      <i val="true"/>
      <sz val="8"/>
      <color rgb="FFA6A6A6"/>
      <name val="Arial"/>
      <family val="0"/>
      <charset val="1"/>
    </font>
    <font>
      <i val="true"/>
      <sz val="9"/>
      <color rgb="FFC00000"/>
      <name val="Arial"/>
      <family val="0"/>
      <charset val="1"/>
    </font>
    <font>
      <i val="true"/>
      <sz val="9"/>
      <color rgb="FFA6A6A6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E5395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D9E1F2"/>
      </patternFill>
    </fill>
    <fill>
      <patternFill patternType="solid">
        <fgColor rgb="FFD9E1F2"/>
        <bgColor rgb="FFDDEBF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5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13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9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9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0" fontId="9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9" fontId="16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16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7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6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3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14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1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2" fontId="16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1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1" fontId="16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9" fontId="16" fillId="6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1" fontId="15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6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A6A6A6"/>
      <rgbColor rgb="FF808080"/>
      <rgbColor rgb="FF9999FF"/>
      <rgbColor rgb="FFAA433F"/>
      <rgbColor rgb="FFF9F9F9"/>
      <rgbColor rgb="FFDDEBF7"/>
      <rgbColor rgb="FF660066"/>
      <rgbColor rgb="FFCC8F8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BF8F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C0504D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&amp; EBITDA (₹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IS!$B$5:$P$5</c:f>
              <c:multiLvlStrCache>
                <c:ptCount val="1"/>
                <c:lvl>
                  <c:pt idx="0">
                    <c:v>FY2031E</c:v>
                  </c:pt>
                </c:lvl>
                <c:lvl>
                  <c:pt idx="0">
                    <c:v>FY2030E</c:v>
                  </c:pt>
                </c:lvl>
                <c:lvl>
                  <c:pt idx="0">
                    <c:v>FY2029E</c:v>
                  </c:pt>
                </c:lvl>
                <c:lvl>
                  <c:pt idx="0">
                    <c:v>FY2028E</c:v>
                  </c:pt>
                </c:lvl>
                <c:lvl>
                  <c:pt idx="0">
                    <c:v>FY2027E</c:v>
                  </c:pt>
                </c:lvl>
                <c:lvl>
                  <c:pt idx="0">
                    <c:v>FY2026</c:v>
                  </c:pt>
                </c:lvl>
                <c:lvl>
                  <c:pt idx="0">
                    <c:v>FY2025</c:v>
                  </c:pt>
                </c:lvl>
                <c:lvl>
                  <c:pt idx="0">
                    <c:v>FY2024</c:v>
                  </c:pt>
                </c:lvl>
                <c:lvl>
                  <c:pt idx="0">
                    <c:v>FY2023</c:v>
                  </c:pt>
                </c:lvl>
                <c:lvl>
                  <c:pt idx="0">
                    <c:v>FY2022</c:v>
                  </c:pt>
                </c:lvl>
                <c:lvl>
                  <c:pt idx="0">
                    <c:v>FY2021</c:v>
                  </c:pt>
                </c:lvl>
                <c:lvl>
                  <c:pt idx="0">
                    <c:v>FY2020</c:v>
                  </c:pt>
                </c:lvl>
                <c:lvl>
                  <c:pt idx="0">
                    <c:v>FY2019</c:v>
                  </c:pt>
                </c:lvl>
                <c:lvl>
                  <c:pt idx="0">
                    <c:v>FY2018</c:v>
                  </c:pt>
                </c:lvl>
                <c:lvl>
                  <c:pt idx="0">
                    <c:v>FY2017</c:v>
                  </c:pt>
                </c:lvl>
              </c:multiLvlStrCache>
            </c:multiLvlStrRef>
          </c:cat>
          <c:val>
            <c:numRef>
              <c:f>IS!$B$6:$P$6</c:f>
              <c:numCache>
                <c:formatCode>#,##0;\(#,##0\);\-</c:formatCode>
                <c:ptCount val="15"/>
                <c:pt idx="0">
                  <c:v>117966</c:v>
                </c:pt>
                <c:pt idx="1">
                  <c:v>123104</c:v>
                </c:pt>
                <c:pt idx="2">
                  <c:v>146463</c:v>
                </c:pt>
                <c:pt idx="3">
                  <c:v>156949</c:v>
                </c:pt>
                <c:pt idx="4">
                  <c:v>164177</c:v>
                </c:pt>
                <c:pt idx="5">
                  <c:v>191754</c:v>
                </c:pt>
                <c:pt idx="6">
                  <c:v>225458</c:v>
                </c:pt>
                <c:pt idx="7">
                  <c:v>240893</c:v>
                </c:pt>
                <c:pt idx="8">
                  <c:v>255324</c:v>
                </c:pt>
                <c:pt idx="9">
                  <c:v>267021</c:v>
                </c:pt>
                <c:pt idx="10">
                  <c:v>285712.47</c:v>
                </c:pt>
                <c:pt idx="11">
                  <c:v>307140.90525</c:v>
                </c:pt>
                <c:pt idx="12">
                  <c:v>331712.17767</c:v>
                </c:pt>
                <c:pt idx="13">
                  <c:v>358249.1518836</c:v>
                </c:pt>
                <c:pt idx="14">
                  <c:v>386909.084034288</c:v>
                </c:pt>
              </c:numCache>
            </c:numRef>
          </c:val>
        </c:ser>
        <c:ser>
          <c:idx val="1"/>
          <c:order val="1"/>
          <c:tx>
            <c:strRef>
              <c:f>"EBITDA"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IS!$B$5:$P$5</c:f>
              <c:multiLvlStrCache>
                <c:ptCount val="1"/>
                <c:lvl>
                  <c:pt idx="0">
                    <c:v>FY2031E</c:v>
                  </c:pt>
                </c:lvl>
                <c:lvl>
                  <c:pt idx="0">
                    <c:v>FY2030E</c:v>
                  </c:pt>
                </c:lvl>
                <c:lvl>
                  <c:pt idx="0">
                    <c:v>FY2029E</c:v>
                  </c:pt>
                </c:lvl>
                <c:lvl>
                  <c:pt idx="0">
                    <c:v>FY2028E</c:v>
                  </c:pt>
                </c:lvl>
                <c:lvl>
                  <c:pt idx="0">
                    <c:v>FY2027E</c:v>
                  </c:pt>
                </c:lvl>
                <c:lvl>
                  <c:pt idx="0">
                    <c:v>FY2026</c:v>
                  </c:pt>
                </c:lvl>
                <c:lvl>
                  <c:pt idx="0">
                    <c:v>FY2025</c:v>
                  </c:pt>
                </c:lvl>
                <c:lvl>
                  <c:pt idx="0">
                    <c:v>FY2024</c:v>
                  </c:pt>
                </c:lvl>
                <c:lvl>
                  <c:pt idx="0">
                    <c:v>FY2023</c:v>
                  </c:pt>
                </c:lvl>
                <c:lvl>
                  <c:pt idx="0">
                    <c:v>FY2022</c:v>
                  </c:pt>
                </c:lvl>
                <c:lvl>
                  <c:pt idx="0">
                    <c:v>FY2021</c:v>
                  </c:pt>
                </c:lvl>
                <c:lvl>
                  <c:pt idx="0">
                    <c:v>FY2020</c:v>
                  </c:pt>
                </c:lvl>
                <c:lvl>
                  <c:pt idx="0">
                    <c:v>FY2019</c:v>
                  </c:pt>
                </c:lvl>
                <c:lvl>
                  <c:pt idx="0">
                    <c:v>FY2018</c:v>
                  </c:pt>
                </c:lvl>
                <c:lvl>
                  <c:pt idx="0">
                    <c:v>FY2017</c:v>
                  </c:pt>
                </c:lvl>
              </c:multiLvlStrCache>
            </c:multiLvlStrRef>
          </c:cat>
          <c:val>
            <c:numRef>
              <c:f>IS!$B$15:$P$15</c:f>
              <c:numCache>
                <c:formatCode>#,##0;\(#,##0\);\-</c:formatCode>
                <c:ptCount val="15"/>
                <c:pt idx="0">
                  <c:v>32310</c:v>
                </c:pt>
                <c:pt idx="1">
                  <c:v>32516</c:v>
                </c:pt>
                <c:pt idx="2">
                  <c:v>39506</c:v>
                </c:pt>
                <c:pt idx="3">
                  <c:v>42109</c:v>
                </c:pt>
                <c:pt idx="4">
                  <c:v>46546</c:v>
                </c:pt>
                <c:pt idx="5">
                  <c:v>53057</c:v>
                </c:pt>
                <c:pt idx="6">
                  <c:v>59259</c:v>
                </c:pt>
                <c:pt idx="7">
                  <c:v>64296</c:v>
                </c:pt>
                <c:pt idx="8">
                  <c:v>67407</c:v>
                </c:pt>
                <c:pt idx="9">
                  <c:v>72398</c:v>
                </c:pt>
                <c:pt idx="10">
                  <c:v>75713.80455</c:v>
                </c:pt>
                <c:pt idx="11">
                  <c:v>82928.0444175</c:v>
                </c:pt>
                <c:pt idx="12">
                  <c:v>89562.2879709</c:v>
                </c:pt>
                <c:pt idx="13">
                  <c:v>98518.51676799</c:v>
                </c:pt>
                <c:pt idx="14">
                  <c:v>106399.998109429</c:v>
                </c:pt>
              </c:numCache>
            </c:numRef>
          </c:val>
        </c:ser>
        <c:gapWidth val="150"/>
        <c:overlap val="0"/>
        <c:axId val="14962500"/>
        <c:axId val="90866724"/>
      </c:barChart>
      <c:catAx>
        <c:axId val="149625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866724"/>
        <c:crosses val="autoZero"/>
        <c:auto val="1"/>
        <c:lblAlgn val="ctr"/>
        <c:lblOffset val="100"/>
        <c:noMultiLvlLbl val="0"/>
      </c:catAx>
      <c:valAx>
        <c:axId val="908667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 Crore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9625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EPS &amp; DPS Trend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"EPS"</c:f>
              <c:strCache>
                <c:ptCount val="1"/>
                <c:pt idx="0">
                  <c:v>EPS</c:v>
                </c:pt>
              </c:strCache>
            </c:strRef>
          </c:tx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IS!$B$5:$P$5</c:f>
              <c:multiLvlStrCache>
                <c:ptCount val="1"/>
                <c:lvl>
                  <c:pt idx="0">
                    <c:v>FY2031E</c:v>
                  </c:pt>
                </c:lvl>
                <c:lvl>
                  <c:pt idx="0">
                    <c:v>FY2030E</c:v>
                  </c:pt>
                </c:lvl>
                <c:lvl>
                  <c:pt idx="0">
                    <c:v>FY2029E</c:v>
                  </c:pt>
                </c:lvl>
                <c:lvl>
                  <c:pt idx="0">
                    <c:v>FY2028E</c:v>
                  </c:pt>
                </c:lvl>
                <c:lvl>
                  <c:pt idx="0">
                    <c:v>FY2027E</c:v>
                  </c:pt>
                </c:lvl>
                <c:lvl>
                  <c:pt idx="0">
                    <c:v>FY2026</c:v>
                  </c:pt>
                </c:lvl>
                <c:lvl>
                  <c:pt idx="0">
                    <c:v>FY2025</c:v>
                  </c:pt>
                </c:lvl>
                <c:lvl>
                  <c:pt idx="0">
                    <c:v>FY2024</c:v>
                  </c:pt>
                </c:lvl>
                <c:lvl>
                  <c:pt idx="0">
                    <c:v>FY2023</c:v>
                  </c:pt>
                </c:lvl>
                <c:lvl>
                  <c:pt idx="0">
                    <c:v>FY2022</c:v>
                  </c:pt>
                </c:lvl>
                <c:lvl>
                  <c:pt idx="0">
                    <c:v>FY2021</c:v>
                  </c:pt>
                </c:lvl>
                <c:lvl>
                  <c:pt idx="0">
                    <c:v>FY2020</c:v>
                  </c:pt>
                </c:lvl>
                <c:lvl>
                  <c:pt idx="0">
                    <c:v>FY2019</c:v>
                  </c:pt>
                </c:lvl>
                <c:lvl>
                  <c:pt idx="0">
                    <c:v>FY2018</c:v>
                  </c:pt>
                </c:lvl>
                <c:lvl>
                  <c:pt idx="0">
                    <c:v>FY2017</c:v>
                  </c:pt>
                </c:lvl>
              </c:multiLvlStrCache>
            </c:multiLvlStrRef>
          </c:cat>
          <c:val>
            <c:numRef>
              <c:f>IS!$B$31:$P$31</c:f>
              <c:numCache>
                <c:formatCode>\₹#,##0.00;"(₹"#,##0.00\);\-</c:formatCode>
                <c:ptCount val="15"/>
                <c:pt idx="0">
                  <c:v>66.8781242863305</c:v>
                </c:pt>
                <c:pt idx="1">
                  <c:v>67.5965104738024</c:v>
                </c:pt>
                <c:pt idx="2">
                  <c:v>84.1115019720712</c:v>
                </c:pt>
                <c:pt idx="3">
                  <c:v>86.4699925381089</c:v>
                </c:pt>
                <c:pt idx="4">
                  <c:v>88.0268173339461</c:v>
                </c:pt>
                <c:pt idx="5">
                  <c:v>105.077751359624</c:v>
                </c:pt>
                <c:pt idx="6">
                  <c:v>115.610395999016</c:v>
                </c:pt>
                <c:pt idx="7">
                  <c:v>127.412177662309</c:v>
                </c:pt>
                <c:pt idx="8">
                  <c:v>134.869130206462</c:v>
                </c:pt>
                <c:pt idx="9">
                  <c:v>136.685000414582</c:v>
                </c:pt>
                <c:pt idx="10">
                  <c:v>148.191296281197</c:v>
                </c:pt>
                <c:pt idx="11">
                  <c:v>162.390458927218</c:v>
                </c:pt>
                <c:pt idx="12">
                  <c:v>175.346876508073</c:v>
                </c:pt>
                <c:pt idx="13">
                  <c:v>193.248673950977</c:v>
                </c:pt>
                <c:pt idx="14">
                  <c:v>208.788750951385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"DPS"</c:f>
              <c:strCache>
                <c:ptCount val="1"/>
                <c:pt idx="0">
                  <c:v>DPS</c:v>
                </c:pt>
              </c:strCache>
            </c:strRef>
          </c:tx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IS!$B$5:$P$5</c:f>
              <c:multiLvlStrCache>
                <c:ptCount val="1"/>
                <c:lvl>
                  <c:pt idx="0">
                    <c:v>FY2031E</c:v>
                  </c:pt>
                </c:lvl>
                <c:lvl>
                  <c:pt idx="0">
                    <c:v>FY2030E</c:v>
                  </c:pt>
                </c:lvl>
                <c:lvl>
                  <c:pt idx="0">
                    <c:v>FY2029E</c:v>
                  </c:pt>
                </c:lvl>
                <c:lvl>
                  <c:pt idx="0">
                    <c:v>FY2028E</c:v>
                  </c:pt>
                </c:lvl>
                <c:lvl>
                  <c:pt idx="0">
                    <c:v>FY2027E</c:v>
                  </c:pt>
                </c:lvl>
                <c:lvl>
                  <c:pt idx="0">
                    <c:v>FY2026</c:v>
                  </c:pt>
                </c:lvl>
                <c:lvl>
                  <c:pt idx="0">
                    <c:v>FY2025</c:v>
                  </c:pt>
                </c:lvl>
                <c:lvl>
                  <c:pt idx="0">
                    <c:v>FY2024</c:v>
                  </c:pt>
                </c:lvl>
                <c:lvl>
                  <c:pt idx="0">
                    <c:v>FY2023</c:v>
                  </c:pt>
                </c:lvl>
                <c:lvl>
                  <c:pt idx="0">
                    <c:v>FY2022</c:v>
                  </c:pt>
                </c:lvl>
                <c:lvl>
                  <c:pt idx="0">
                    <c:v>FY2021</c:v>
                  </c:pt>
                </c:lvl>
                <c:lvl>
                  <c:pt idx="0">
                    <c:v>FY2020</c:v>
                  </c:pt>
                </c:lvl>
                <c:lvl>
                  <c:pt idx="0">
                    <c:v>FY2019</c:v>
                  </c:pt>
                </c:lvl>
                <c:lvl>
                  <c:pt idx="0">
                    <c:v>FY2018</c:v>
                  </c:pt>
                </c:lvl>
                <c:lvl>
                  <c:pt idx="0">
                    <c:v>FY2017</c:v>
                  </c:pt>
                </c:lvl>
              </c:multiLvlStrCache>
            </c:multiLvlStrRef>
          </c:cat>
          <c:val>
            <c:numRef>
              <c:f>IS!$B$32:$P$32</c:f>
              <c:numCache>
                <c:formatCode>\₹#,##0.00;"(₹"#,##0.00\);\-</c:formatCode>
                <c:ptCount val="15"/>
                <c:pt idx="0">
                  <c:v>23.4946332056129</c:v>
                </c:pt>
                <c:pt idx="1">
                  <c:v>24.9438437026589</c:v>
                </c:pt>
                <c:pt idx="2">
                  <c:v>29.9808122801407</c:v>
                </c:pt>
                <c:pt idx="3">
                  <c:v>72.9533098816757</c:v>
                </c:pt>
                <c:pt idx="4">
                  <c:v>38.0092454921467</c:v>
                </c:pt>
                <c:pt idx="5">
                  <c:v>43.0105763712388</c:v>
                </c:pt>
                <c:pt idx="6">
                  <c:v>115.028285644011</c:v>
                </c:pt>
                <c:pt idx="7">
                  <c:v>73.038335037727</c:v>
                </c:pt>
                <c:pt idx="8">
                  <c:v>126.066167325392</c:v>
                </c:pt>
                <c:pt idx="9">
                  <c:v>110.057765125342</c:v>
                </c:pt>
                <c:pt idx="10">
                  <c:v>118.553037024958</c:v>
                </c:pt>
                <c:pt idx="11">
                  <c:v>129.912367141774</c:v>
                </c:pt>
                <c:pt idx="12">
                  <c:v>140.277501206458</c:v>
                </c:pt>
                <c:pt idx="13">
                  <c:v>154.598939160781</c:v>
                </c:pt>
                <c:pt idx="14">
                  <c:v>167.031000761108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2344273"/>
        <c:axId val="67295999"/>
      </c:lineChart>
      <c:catAx>
        <c:axId val="6234427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295999"/>
        <c:crosses val="autoZero"/>
        <c:auto val="1"/>
        <c:lblAlgn val="ctr"/>
        <c:lblOffset val="100"/>
        <c:noMultiLvlLbl val="0"/>
      </c:catAx>
      <c:valAx>
        <c:axId val="672959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 per 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.00;&quot;(₹&quot;#,##0.0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3442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22</xdr:row>
      <xdr:rowOff>130680</xdr:rowOff>
    </xdr:from>
    <xdr:to>
      <xdr:col>11</xdr:col>
      <xdr:colOff>39960</xdr:colOff>
      <xdr:row>37</xdr:row>
      <xdr:rowOff>152640</xdr:rowOff>
    </xdr:to>
    <xdr:graphicFrame>
      <xdr:nvGraphicFramePr>
        <xdr:cNvPr id="0" name="Chart 1"/>
        <xdr:cNvGraphicFramePr/>
      </xdr:nvGraphicFramePr>
      <xdr:xfrm>
        <a:off x="0" y="4495680"/>
        <a:ext cx="863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39</xdr:row>
      <xdr:rowOff>130680</xdr:rowOff>
    </xdr:from>
    <xdr:to>
      <xdr:col>11</xdr:col>
      <xdr:colOff>39960</xdr:colOff>
      <xdr:row>54</xdr:row>
      <xdr:rowOff>152640</xdr:rowOff>
    </xdr:to>
    <xdr:graphicFrame>
      <xdr:nvGraphicFramePr>
        <xdr:cNvPr id="1" name="Chart 2"/>
        <xdr:cNvGraphicFramePr/>
      </xdr:nvGraphicFramePr>
      <xdr:xfrm>
        <a:off x="0" y="7734240"/>
        <a:ext cx="863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6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C3:F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3"/>
    <col collapsed="false" customWidth="true" hidden="false" outlineLevel="0" max="3" min="3" style="1" width="55"/>
    <col collapsed="false" customWidth="true" hidden="false" outlineLevel="0" max="8" min="4" style="1" width="3"/>
  </cols>
  <sheetData>
    <row r="3" customFormat="false" ht="24.45" hidden="false" customHeight="false" outlineLevel="0" collapsed="false">
      <c r="C3" s="2" t="s">
        <v>0</v>
      </c>
      <c r="D3" s="2"/>
      <c r="E3" s="2"/>
      <c r="F3" s="2"/>
    </row>
    <row r="4" customFormat="false" ht="16.15" hidden="false" customHeight="false" outlineLevel="0" collapsed="false">
      <c r="C4" s="3" t="s">
        <v>1</v>
      </c>
      <c r="D4" s="3"/>
      <c r="E4" s="3"/>
      <c r="F4" s="3"/>
    </row>
    <row r="5" customFormat="false" ht="15" hidden="false" customHeight="false" outlineLevel="0" collapsed="false">
      <c r="C5" s="4" t="s">
        <v>2</v>
      </c>
      <c r="D5" s="4"/>
      <c r="E5" s="4"/>
      <c r="F5" s="4"/>
    </row>
    <row r="8" customFormat="false" ht="15" hidden="false" customHeight="false" outlineLevel="0" collapsed="false">
      <c r="C8" s="5" t="s">
        <v>3</v>
      </c>
      <c r="D8" s="5"/>
      <c r="E8" s="5"/>
      <c r="F8" s="5"/>
    </row>
    <row r="9" customFormat="false" ht="15" hidden="false" customHeight="false" outlineLevel="0" collapsed="false">
      <c r="C9" s="5" t="s">
        <v>4</v>
      </c>
      <c r="D9" s="5"/>
      <c r="E9" s="5"/>
      <c r="F9" s="5"/>
    </row>
    <row r="10" customFormat="false" ht="15" hidden="false" customHeight="false" outlineLevel="0" collapsed="false">
      <c r="C10" s="5" t="s">
        <v>5</v>
      </c>
      <c r="D10" s="5"/>
      <c r="E10" s="5"/>
      <c r="F10" s="5"/>
    </row>
    <row r="11" customFormat="false" ht="15" hidden="false" customHeight="false" outlineLevel="0" collapsed="false">
      <c r="C11" s="5" t="s">
        <v>6</v>
      </c>
      <c r="D11" s="5"/>
      <c r="E11" s="5"/>
      <c r="F11" s="5"/>
    </row>
    <row r="13" customFormat="false" ht="15" hidden="false" customHeight="false" outlineLevel="0" collapsed="false">
      <c r="C13" s="6" t="s">
        <v>7</v>
      </c>
      <c r="D13" s="6"/>
      <c r="E13" s="6"/>
      <c r="F13" s="6"/>
    </row>
    <row r="14" customFormat="false" ht="15" hidden="false" customHeight="false" outlineLevel="0" collapsed="false">
      <c r="C14" s="7" t="s">
        <v>8</v>
      </c>
      <c r="E14" s="8" t="n">
        <v>2093.5</v>
      </c>
    </row>
    <row r="15" customFormat="false" ht="15" hidden="false" customHeight="false" outlineLevel="0" collapsed="false">
      <c r="C15" s="7" t="s">
        <v>9</v>
      </c>
      <c r="E15" s="8" t="n">
        <v>361.81</v>
      </c>
    </row>
    <row r="16" customFormat="false" ht="15" hidden="false" customHeight="false" outlineLevel="0" collapsed="false">
      <c r="C16" s="7" t="s">
        <v>10</v>
      </c>
      <c r="E16" s="8" t="n">
        <v>757446.62</v>
      </c>
    </row>
    <row r="17" customFormat="false" ht="15" hidden="false" customHeight="false" outlineLevel="0" collapsed="false">
      <c r="C17" s="7" t="s">
        <v>11</v>
      </c>
      <c r="E17" s="9" t="s">
        <v>12</v>
      </c>
    </row>
    <row r="19" customFormat="false" ht="15" hidden="false" customHeight="false" outlineLevel="0" collapsed="false">
      <c r="C19" s="6" t="s">
        <v>13</v>
      </c>
      <c r="D19" s="6"/>
      <c r="E19" s="6"/>
      <c r="F19" s="6"/>
    </row>
    <row r="20" customFormat="false" ht="15" hidden="false" customHeight="false" outlineLevel="0" collapsed="false">
      <c r="C20" s="7" t="s">
        <v>14</v>
      </c>
    </row>
    <row r="21" customFormat="false" ht="15" hidden="false" customHeight="false" outlineLevel="0" collapsed="false">
      <c r="C21" s="7" t="s">
        <v>15</v>
      </c>
    </row>
    <row r="22" customFormat="false" ht="15" hidden="false" customHeight="false" outlineLevel="0" collapsed="false">
      <c r="C22" s="7" t="s">
        <v>16</v>
      </c>
    </row>
    <row r="23" customFormat="false" ht="15" hidden="false" customHeight="false" outlineLevel="0" collapsed="false">
      <c r="C23" s="7" t="s">
        <v>17</v>
      </c>
    </row>
    <row r="24" customFormat="false" ht="15" hidden="false" customHeight="false" outlineLevel="0" collapsed="false">
      <c r="C24" s="7" t="s">
        <v>18</v>
      </c>
    </row>
    <row r="25" customFormat="false" ht="15" hidden="false" customHeight="false" outlineLevel="0" collapsed="false">
      <c r="C25" s="7" t="s">
        <v>19</v>
      </c>
    </row>
    <row r="26" customFormat="false" ht="15" hidden="false" customHeight="false" outlineLevel="0" collapsed="false">
      <c r="C26" s="7" t="s">
        <v>20</v>
      </c>
    </row>
    <row r="27" customFormat="false" ht="15" hidden="false" customHeight="false" outlineLevel="0" collapsed="false">
      <c r="C27" s="7" t="s">
        <v>21</v>
      </c>
    </row>
    <row r="29" customFormat="false" ht="60" hidden="false" customHeight="true" outlineLevel="0" collapsed="false">
      <c r="C29" s="10" t="s">
        <v>22</v>
      </c>
      <c r="D29" s="10"/>
      <c r="E29" s="10"/>
      <c r="F29" s="10"/>
    </row>
    <row r="30" customFormat="false" ht="15" hidden="false" customHeight="false" outlineLevel="0" collapsed="false">
      <c r="C30" s="10"/>
      <c r="D30" s="10"/>
      <c r="E30" s="10"/>
      <c r="F30" s="10"/>
    </row>
    <row r="31" customFormat="false" ht="15" hidden="false" customHeight="false" outlineLevel="0" collapsed="false">
      <c r="C31" s="10"/>
      <c r="D31" s="10"/>
      <c r="E31" s="10"/>
      <c r="F31" s="10"/>
    </row>
    <row r="32" customFormat="false" ht="15" hidden="false" customHeight="false" outlineLevel="0" collapsed="false">
      <c r="C32" s="10"/>
      <c r="D32" s="10"/>
      <c r="E32" s="10"/>
      <c r="F32" s="10"/>
    </row>
  </sheetData>
  <mergeCells count="10">
    <mergeCell ref="C3:F3"/>
    <mergeCell ref="C4:F4"/>
    <mergeCell ref="C5:F5"/>
    <mergeCell ref="C8:F8"/>
    <mergeCell ref="C9:F9"/>
    <mergeCell ref="C10:F10"/>
    <mergeCell ref="C11:F11"/>
    <mergeCell ref="C13:F13"/>
    <mergeCell ref="C19:F19"/>
    <mergeCell ref="C29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P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16" min="2" style="1" width="11"/>
  </cols>
  <sheetData>
    <row r="1" customFormat="false" ht="17.35" hidden="false" customHeight="false" outlineLevel="0" collapsed="false">
      <c r="A1" s="11" t="s">
        <v>23</v>
      </c>
    </row>
    <row r="2" customFormat="false" ht="15" hidden="false" customHeight="false" outlineLevel="0" collapsed="false">
      <c r="A2" s="12" t="s">
        <v>24</v>
      </c>
    </row>
    <row r="4" customFormat="false" ht="18" hidden="false" customHeight="true" outlineLevel="0" collapsed="false">
      <c r="A4" s="6" t="s">
        <v>25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customFormat="false" ht="15.75" hidden="false" customHeight="true" outlineLevel="0" collapsed="false">
      <c r="A5" s="13" t="s">
        <v>26</v>
      </c>
      <c r="B5" s="14" t="s">
        <v>27</v>
      </c>
      <c r="C5" s="14" t="s">
        <v>28</v>
      </c>
      <c r="D5" s="14" t="s">
        <v>29</v>
      </c>
      <c r="E5" s="14" t="s">
        <v>30</v>
      </c>
      <c r="F5" s="14" t="s">
        <v>31</v>
      </c>
      <c r="G5" s="14" t="s">
        <v>32</v>
      </c>
      <c r="H5" s="14" t="s">
        <v>33</v>
      </c>
      <c r="I5" s="14" t="s">
        <v>34</v>
      </c>
      <c r="J5" s="14" t="s">
        <v>35</v>
      </c>
      <c r="K5" s="14" t="s">
        <v>36</v>
      </c>
      <c r="L5" s="14" t="s">
        <v>37</v>
      </c>
      <c r="M5" s="14" t="s">
        <v>38</v>
      </c>
      <c r="N5" s="14" t="s">
        <v>39</v>
      </c>
      <c r="O5" s="14" t="s">
        <v>40</v>
      </c>
      <c r="P5" s="14" t="s">
        <v>41</v>
      </c>
    </row>
    <row r="6" customFormat="false" ht="15" hidden="false" customHeight="false" outlineLevel="0" collapsed="false">
      <c r="A6" s="7" t="s">
        <v>42</v>
      </c>
      <c r="B6" s="15"/>
      <c r="C6" s="15" t="n">
        <f aca="false">IFERROR(IS!C6/IS!B6-1,"")</f>
        <v>0.0435549226048184</v>
      </c>
      <c r="D6" s="15" t="n">
        <f aca="false">IFERROR(IS!D6/IS!C6-1,"")</f>
        <v>0.189750129971406</v>
      </c>
      <c r="E6" s="15" t="n">
        <f aca="false">IFERROR(IS!E6/IS!D6-1,"")</f>
        <v>0.0715948737906502</v>
      </c>
      <c r="F6" s="15" t="n">
        <f aca="false">IFERROR(IS!F6/IS!E6-1,"")</f>
        <v>0.0460531765095669</v>
      </c>
      <c r="G6" s="15" t="n">
        <f aca="false">IFERROR(IS!G6/IS!F6-1,"")</f>
        <v>0.167971153084781</v>
      </c>
      <c r="H6" s="15" t="n">
        <f aca="false">IFERROR(IS!H6/IS!G6-1,"")</f>
        <v>0.175766867966249</v>
      </c>
      <c r="I6" s="15" t="n">
        <f aca="false">IFERROR(IS!I6/IS!H6-1,"")</f>
        <v>0.0684606445546399</v>
      </c>
      <c r="J6" s="15" t="n">
        <f aca="false">IFERROR(IS!J6/IS!I6-1,"")</f>
        <v>0.0599062654373519</v>
      </c>
      <c r="K6" s="15" t="n">
        <f aca="false">IFERROR(IS!K6/IS!J6-1,"")</f>
        <v>0.0458123795647882</v>
      </c>
      <c r="L6" s="16" t="n">
        <v>0.07</v>
      </c>
      <c r="M6" s="16" t="n">
        <v>0.075</v>
      </c>
      <c r="N6" s="16" t="n">
        <v>0.08</v>
      </c>
      <c r="O6" s="16" t="n">
        <v>0.08</v>
      </c>
      <c r="P6" s="16" t="n">
        <v>0.08</v>
      </c>
    </row>
    <row r="7" customFormat="false" ht="15" hidden="false" customHeight="false" outlineLevel="0" collapsed="false">
      <c r="A7" s="7" t="s">
        <v>43</v>
      </c>
      <c r="B7" s="15" t="n">
        <f aca="false">IS!B15/IS!B6</f>
        <v>0.273892477493515</v>
      </c>
      <c r="C7" s="15" t="n">
        <f aca="false">IS!C15/IS!C6</f>
        <v>0.264134390434104</v>
      </c>
      <c r="D7" s="15" t="n">
        <f aca="false">IS!D15/IS!D6</f>
        <v>0.26973365286796</v>
      </c>
      <c r="E7" s="15" t="n">
        <f aca="false">IS!E15/IS!E6</f>
        <v>0.26829734499742</v>
      </c>
      <c r="F7" s="15" t="n">
        <f aca="false">IS!F15/IS!F6</f>
        <v>0.283511088642136</v>
      </c>
      <c r="G7" s="15" t="n">
        <f aca="false">IS!G15/IS!G6</f>
        <v>0.276693054642928</v>
      </c>
      <c r="H7" s="15" t="n">
        <f aca="false">IS!H15/IS!H6</f>
        <v>0.262838311348455</v>
      </c>
      <c r="I7" s="15" t="n">
        <f aca="false">IS!I15/IS!I6</f>
        <v>0.266906883969231</v>
      </c>
      <c r="J7" s="15" t="n">
        <f aca="false">IS!J15/IS!J6</f>
        <v>0.264005733891056</v>
      </c>
      <c r="K7" s="15" t="n">
        <f aca="false">IS!K15/IS!K6</f>
        <v>0.271132233045341</v>
      </c>
      <c r="L7" s="16" t="n">
        <v>0.265</v>
      </c>
      <c r="M7" s="16" t="n">
        <v>0.27</v>
      </c>
      <c r="N7" s="16" t="n">
        <v>0.27</v>
      </c>
      <c r="O7" s="16" t="n">
        <v>0.275</v>
      </c>
      <c r="P7" s="16" t="n">
        <v>0.275</v>
      </c>
    </row>
    <row r="8" customFormat="false" ht="15" hidden="false" customHeight="false" outlineLevel="0" collapsed="false">
      <c r="A8" s="7" t="s">
        <v>44</v>
      </c>
      <c r="B8" s="15" t="n">
        <f aca="false">IS!B18/IS!B6</f>
        <v>0.016843836359629</v>
      </c>
      <c r="C8" s="15" t="n">
        <f aca="false">IS!C18/IS!C6</f>
        <v>0.0163601507668313</v>
      </c>
      <c r="D8" s="15" t="n">
        <f aca="false">IS!D18/IS!D6</f>
        <v>0.0140376750442091</v>
      </c>
      <c r="E8" s="15" t="n">
        <f aca="false">IS!E18/IS!E6</f>
        <v>0.0224850110545464</v>
      </c>
      <c r="F8" s="15" t="n">
        <f aca="false">IS!F18/IS!F6</f>
        <v>0.024759862830969</v>
      </c>
      <c r="G8" s="15" t="n">
        <f aca="false">IS!G18/IS!G6</f>
        <v>0.0240099293886959</v>
      </c>
      <c r="H8" s="15" t="n">
        <f aca="false">IS!H18/IS!H6</f>
        <v>0.0222746586947458</v>
      </c>
      <c r="I8" s="15" t="n">
        <f aca="false">IS!I18/IS!I6</f>
        <v>0.0206938350221883</v>
      </c>
      <c r="J8" s="15" t="n">
        <f aca="false">IS!J18/IS!J6</f>
        <v>0.0205307765819116</v>
      </c>
      <c r="K8" s="15" t="n">
        <f aca="false">IS!K18/IS!K6</f>
        <v>0.0208223323259219</v>
      </c>
      <c r="L8" s="16" t="n">
        <v>0.022</v>
      </c>
      <c r="M8" s="16" t="n">
        <v>0.022</v>
      </c>
      <c r="N8" s="16" t="n">
        <v>0.022</v>
      </c>
      <c r="O8" s="16" t="n">
        <v>0.022</v>
      </c>
      <c r="P8" s="16" t="n">
        <v>0.022</v>
      </c>
    </row>
    <row r="9" customFormat="false" ht="15" hidden="false" customHeight="false" outlineLevel="0" collapsed="false">
      <c r="A9" s="7" t="s">
        <v>45</v>
      </c>
      <c r="B9" s="15"/>
      <c r="C9" s="15" t="n">
        <f aca="false">IFERROR(((BS!C6+BS!C7)-(BS!B6+BS!B7)+IS!C18)/IS!C6,"")</f>
        <v>0.0164332596828698</v>
      </c>
      <c r="D9" s="15" t="n">
        <f aca="false">IFERROR(((BS!D6+BS!D7)-(BS!C6+BS!C7)+IS!D18)/IS!D6,"")</f>
        <v>0.0140513303701276</v>
      </c>
      <c r="E9" s="15" t="n">
        <f aca="false">IFERROR(((BS!E6+BS!E7)-(BS!D6+BS!D7)+IS!E18)/IS!E6,"")</f>
        <v>0.0771588222925919</v>
      </c>
      <c r="F9" s="15" t="n">
        <f aca="false">IFERROR(((BS!F6+BS!F7)-(BS!E6+BS!E7)+IS!F18)/IS!F6,"")</f>
        <v>0.0254481443807598</v>
      </c>
      <c r="G9" s="15" t="n">
        <f aca="false">IFERROR(((BS!G6+BS!G7)-(BS!F6+BS!F7)+IS!G18)/IS!G6,"")</f>
        <v>0.0269094777683908</v>
      </c>
      <c r="H9" s="15" t="n">
        <f aca="false">IFERROR(((BS!H6+BS!H7)-(BS!G6+BS!G7)+IS!H18)/IS!H6,"")</f>
        <v>0.0189303550993977</v>
      </c>
      <c r="I9" s="15" t="n">
        <f aca="false">IFERROR(((BS!I6+BS!I7)-(BS!H6+BS!H7)+IS!I18)/IS!I6,"")</f>
        <v>0.0182819758149884</v>
      </c>
      <c r="J9" s="15" t="n">
        <f aca="false">IFERROR(((BS!J6+BS!J7)-(BS!I6+BS!I7)+IS!J18)/IS!J6,"")</f>
        <v>0.0339686045965127</v>
      </c>
      <c r="K9" s="15" t="n">
        <f aca="false">IFERROR(((BS!K6+BS!K7)-(BS!J6+BS!J7)+IS!K18)/IS!K6,"")</f>
        <v>0.0560592612566053</v>
      </c>
      <c r="L9" s="16" t="n">
        <v>0.045</v>
      </c>
      <c r="M9" s="16" t="n">
        <v>0.045</v>
      </c>
      <c r="N9" s="16" t="n">
        <v>0.04</v>
      </c>
      <c r="O9" s="16" t="n">
        <v>0.04</v>
      </c>
      <c r="P9" s="16" t="n">
        <v>0.04</v>
      </c>
    </row>
    <row r="10" customFormat="false" ht="15" hidden="false" customHeight="false" outlineLevel="0" collapsed="false">
      <c r="A10" s="7" t="s">
        <v>46</v>
      </c>
      <c r="B10" s="15" t="n">
        <f aca="false">IS!B22/IS!B21</f>
        <v>0.236323597589244</v>
      </c>
      <c r="C10" s="15" t="n">
        <f aca="false">IS!C22/IS!C21</f>
        <v>0.240877625249325</v>
      </c>
      <c r="D10" s="15" t="n">
        <f aca="false">IS!D22/IS!D21</f>
        <v>0.240622669200972</v>
      </c>
      <c r="E10" s="15" t="n">
        <f aca="false">IS!E22/IS!E21</f>
        <v>0.2319873130089</v>
      </c>
      <c r="F10" s="15" t="n">
        <f aca="false">IS!F22/IS!F21</f>
        <v>0.255895795246801</v>
      </c>
      <c r="G10" s="15" t="n">
        <f aca="false">IS!G22/IS!G21</f>
        <v>0.256118559792598</v>
      </c>
      <c r="H10" s="15" t="n">
        <f aca="false">IS!H22/IS!H21</f>
        <v>0.256629237176446</v>
      </c>
      <c r="I10" s="15" t="n">
        <f aca="false">IS!I22/IS!I21</f>
        <v>0.256431762827234</v>
      </c>
      <c r="J10" s="15" t="n">
        <f aca="false">IS!J22/IS!J21</f>
        <v>0.253080467159541</v>
      </c>
      <c r="K10" s="15" t="n">
        <f aca="false">IS!K22/IS!K21</f>
        <v>0.24482721761571</v>
      </c>
      <c r="L10" s="16" t="n">
        <v>0.25</v>
      </c>
      <c r="M10" s="16" t="n">
        <v>0.25</v>
      </c>
      <c r="N10" s="16" t="n">
        <v>0.25</v>
      </c>
      <c r="O10" s="16" t="n">
        <v>0.25</v>
      </c>
      <c r="P10" s="16" t="n">
        <v>0.25</v>
      </c>
    </row>
    <row r="11" customFormat="false" ht="15" hidden="false" customHeight="false" outlineLevel="0" collapsed="false">
      <c r="A11" s="7" t="s">
        <v>47</v>
      </c>
      <c r="B11" s="17" t="n">
        <f aca="false">BS!B9/IS!B6*365</f>
        <v>69.9795279995931</v>
      </c>
      <c r="C11" s="17" t="n">
        <f aca="false">BS!C9/IS!C6*365</f>
        <v>73.9553142058747</v>
      </c>
      <c r="D11" s="17" t="n">
        <f aca="false">BS!D9/IS!D6*365</f>
        <v>68.1488840184893</v>
      </c>
      <c r="E11" s="17" t="n">
        <f aca="false">BS!E9/IS!E6*365</f>
        <v>71.0051035686752</v>
      </c>
      <c r="F11" s="17" t="n">
        <f aca="false">BS!F9/IS!F6*365</f>
        <v>66.8719430858159</v>
      </c>
      <c r="G11" s="17" t="n">
        <f aca="false">BS!G9/IS!G6*365</f>
        <v>79.5845197492621</v>
      </c>
      <c r="H11" s="17" t="n">
        <f aca="false">BS!H9/IS!H6*365</f>
        <v>80.8718697052223</v>
      </c>
      <c r="I11" s="17" t="n">
        <f aca="false">BS!I9/IS!I6*365</f>
        <v>81.1796316206781</v>
      </c>
      <c r="J11" s="17" t="n">
        <f aca="false">BS!J9/IS!J6*365</f>
        <v>84.4095737180994</v>
      </c>
      <c r="K11" s="17" t="n">
        <f aca="false">BS!K9/IS!K6*365</f>
        <v>92.5605476722805</v>
      </c>
      <c r="L11" s="18" t="n">
        <v>92</v>
      </c>
      <c r="M11" s="18" t="n">
        <v>91</v>
      </c>
      <c r="N11" s="18" t="n">
        <v>90</v>
      </c>
      <c r="O11" s="18" t="n">
        <v>90</v>
      </c>
      <c r="P11" s="18" t="n">
        <v>90</v>
      </c>
    </row>
    <row r="12" customFormat="false" ht="15" hidden="false" customHeight="false" outlineLevel="0" collapsed="false">
      <c r="A12" s="7" t="s">
        <v>48</v>
      </c>
      <c r="B12" s="15" t="n">
        <f aca="false">BS!B19/IS!B6</f>
        <v>0.134191207636099</v>
      </c>
      <c r="C12" s="15" t="n">
        <f aca="false">BS!C19/IS!C6</f>
        <v>0.160441577852872</v>
      </c>
      <c r="D12" s="15" t="n">
        <f aca="false">BS!D19/IS!D6</f>
        <v>0.16654718256488</v>
      </c>
      <c r="E12" s="15" t="n">
        <f aca="false">BS!E19/IS!E6</f>
        <v>0.177299632364654</v>
      </c>
      <c r="F12" s="15" t="n">
        <f aca="false">BS!F19/IS!F6</f>
        <v>0.217838065015197</v>
      </c>
      <c r="G12" s="15" t="n">
        <f aca="false">BS!G19/IS!G6</f>
        <v>0.229288567643961</v>
      </c>
      <c r="H12" s="15" t="n">
        <f aca="false">BS!H19/IS!H6</f>
        <v>0.198471555677776</v>
      </c>
      <c r="I12" s="15" t="n">
        <f aca="false">BS!I19/IS!I6</f>
        <v>0.194949624937213</v>
      </c>
      <c r="J12" s="15" t="n">
        <f aca="false">BS!J19/IS!J6</f>
        <v>0.213458194294308</v>
      </c>
      <c r="K12" s="15" t="n">
        <f aca="false">BS!K19/IS!K6</f>
        <v>0.234603270903787</v>
      </c>
      <c r="L12" s="16" t="n">
        <v>0.234</v>
      </c>
      <c r="M12" s="16" t="n">
        <v>0.234</v>
      </c>
      <c r="N12" s="16" t="n">
        <v>0.234</v>
      </c>
      <c r="O12" s="16" t="n">
        <v>0.234</v>
      </c>
      <c r="P12" s="16" t="n">
        <v>0.234</v>
      </c>
    </row>
    <row r="13" customFormat="false" ht="15" hidden="false" customHeight="false" outlineLevel="0" collapsed="false">
      <c r="A13" s="7" t="s">
        <v>49</v>
      </c>
      <c r="B13" s="15" t="n">
        <f aca="false">BS!B12/IS!B6</f>
        <v>0.172286930132411</v>
      </c>
      <c r="C13" s="15" t="n">
        <f aca="false">BS!C12/IS!C6</f>
        <v>0.192820704445022</v>
      </c>
      <c r="D13" s="15" t="n">
        <f aca="false">BS!D12/IS!D6</f>
        <v>0.21243590531397</v>
      </c>
      <c r="E13" s="15" t="n">
        <f aca="false">BS!E12/IS!E6</f>
        <v>0.202193069086136</v>
      </c>
      <c r="F13" s="15" t="n">
        <f aca="false">BS!F12/IS!F6</f>
        <v>0.239107792199882</v>
      </c>
      <c r="G13" s="15" t="n">
        <f aca="false">BS!G12/IS!G6</f>
        <v>0.145420695265809</v>
      </c>
      <c r="H13" s="15" t="n">
        <f aca="false">BS!H12/IS!H6</f>
        <v>0.101717393039945</v>
      </c>
      <c r="I13" s="15" t="n">
        <f aca="false">BS!I12/IS!I6</f>
        <v>0.106482961314775</v>
      </c>
      <c r="J13" s="15" t="n">
        <f aca="false">BS!J12/IS!J6</f>
        <v>0.111842208331375</v>
      </c>
      <c r="K13" s="15" t="n">
        <f aca="false">BS!K12/IS!K6</f>
        <v>0.121788173963846</v>
      </c>
      <c r="L13" s="16" t="n">
        <v>0.122</v>
      </c>
      <c r="M13" s="16" t="n">
        <v>0.122</v>
      </c>
      <c r="N13" s="16" t="n">
        <v>0.122</v>
      </c>
      <c r="O13" s="16" t="n">
        <v>0.122</v>
      </c>
      <c r="P13" s="16" t="n">
        <v>0.122</v>
      </c>
    </row>
    <row r="14" customFormat="false" ht="15" hidden="false" customHeight="false" outlineLevel="0" collapsed="false">
      <c r="A14" s="7" t="s">
        <v>50</v>
      </c>
      <c r="B14" s="15" t="n">
        <f aca="false">IS!B26/IS!B24</f>
        <v>0.351305205645773</v>
      </c>
      <c r="C14" s="15" t="n">
        <f aca="false">IS!C26/IS!C24</f>
        <v>0.369010819165379</v>
      </c>
      <c r="D14" s="15" t="n">
        <f aca="false">IS!D26/IS!D24</f>
        <v>0.356441290159052</v>
      </c>
      <c r="E14" s="15" t="n">
        <f aca="false">IS!E26/IS!E24</f>
        <v>0.843683545474158</v>
      </c>
      <c r="F14" s="15" t="n">
        <f aca="false">IS!F26/IS!F24</f>
        <v>0.431791658989006</v>
      </c>
      <c r="G14" s="15" t="n">
        <f aca="false">IS!G26/IS!G24</f>
        <v>0.409321438789045</v>
      </c>
      <c r="H14" s="15" t="n">
        <f aca="false">IS!H26/IS!H24</f>
        <v>0.994964896106659</v>
      </c>
      <c r="I14" s="15" t="n">
        <f aca="false">IS!I26/IS!I24</f>
        <v>0.573244538927092</v>
      </c>
      <c r="J14" s="15" t="n">
        <f aca="false">IS!J26/IS!J24</f>
        <v>0.93472959403242</v>
      </c>
      <c r="K14" s="15" t="n">
        <f aca="false">IS!K26/IS!K24</f>
        <v>0.805192704331298</v>
      </c>
      <c r="L14" s="16" t="n">
        <v>0.8</v>
      </c>
      <c r="M14" s="16" t="n">
        <v>0.8</v>
      </c>
      <c r="N14" s="16" t="n">
        <v>0.8</v>
      </c>
      <c r="O14" s="16" t="n">
        <v>0.8</v>
      </c>
      <c r="P14" s="16" t="n">
        <v>0.8</v>
      </c>
    </row>
    <row r="15" customFormat="false" ht="15" hidden="false" customHeight="false" outlineLevel="0" collapsed="false">
      <c r="A15" s="7" t="s">
        <v>51</v>
      </c>
      <c r="B15" s="15"/>
      <c r="C15" s="15" t="n">
        <f aca="false">IFERROR(IS!C20/AVERAGE(BS!B18,BS!C18),"")</f>
        <v>0.194029850746269</v>
      </c>
      <c r="D15" s="15" t="n">
        <f aca="false">IFERROR(IS!D20/AVERAGE(BS!C18,BS!D18),"")</f>
        <v>1.28155339805825</v>
      </c>
      <c r="E15" s="15" t="n">
        <f aca="false">IFERROR(IS!E20/AVERAGE(BS!D18,BS!E18),"")</f>
        <v>0.224380767362797</v>
      </c>
      <c r="F15" s="15" t="n">
        <f aca="false">IFERROR(IS!F20/AVERAGE(BS!E18,BS!F18),"")</f>
        <v>0.0797795729225374</v>
      </c>
      <c r="G15" s="15" t="n">
        <f aca="false">IFERROR(IS!G20/AVERAGE(BS!F18,BS!G18),"")</f>
        <v>0.100429129571511</v>
      </c>
      <c r="H15" s="15" t="n">
        <f aca="false">IFERROR(IS!H20/AVERAGE(BS!G18,BS!H18),"")</f>
        <v>0.100477234618857</v>
      </c>
      <c r="I15" s="15" t="n">
        <f aca="false">IFERROR(IS!I20/AVERAGE(BS!H18,BS!I18),"")</f>
        <v>0.09905149914062</v>
      </c>
      <c r="J15" s="15" t="n">
        <f aca="false">IFERROR(IS!J20/AVERAGE(BS!I18,BS!J18),"")</f>
        <v>0.0914259461322001</v>
      </c>
      <c r="K15" s="15" t="n">
        <f aca="false">IFERROR(IS!K20/AVERAGE(BS!J18,BS!K18),"")</f>
        <v>0.11869407496977</v>
      </c>
      <c r="L15" s="16" t="n">
        <v>0.075</v>
      </c>
      <c r="M15" s="16" t="n">
        <v>0.075</v>
      </c>
      <c r="N15" s="16" t="n">
        <v>0.075</v>
      </c>
      <c r="O15" s="16" t="n">
        <v>0.075</v>
      </c>
      <c r="P15" s="16" t="n">
        <v>0.075</v>
      </c>
    </row>
    <row r="16" customFormat="false" ht="15" hidden="false" customHeight="false" outlineLevel="0" collapsed="false">
      <c r="A16" s="7" t="s">
        <v>52</v>
      </c>
      <c r="B16" s="15"/>
      <c r="C16" s="15" t="n">
        <f aca="false">IFERROR(IS!C17/AVERAGE(BS!B11+BS!B8,BS!C11+BS!C8),"")</f>
        <v>0.0815695760263388</v>
      </c>
      <c r="D16" s="15" t="n">
        <f aca="false">IFERROR(IS!D17/AVERAGE(BS!C11+BS!C8,BS!D11+BS!D8),"")</f>
        <v>0.101022883053886</v>
      </c>
      <c r="E16" s="15" t="n">
        <f aca="false">IFERROR(IS!E17/AVERAGE(BS!D11+BS!D8,BS!E11+BS!E8),"")</f>
        <v>0.117442455242967</v>
      </c>
      <c r="F16" s="15" t="n">
        <f aca="false">IFERROR(IS!F17/AVERAGE(BS!E11+BS!E8,BS!F11+BS!F8),"")</f>
        <v>0.0512820512820513</v>
      </c>
      <c r="G16" s="15" t="n">
        <f aca="false">IFERROR(IS!G17/AVERAGE(BS!F11+BS!F8,BS!G11+BS!G8),"")</f>
        <v>0.0919366648361706</v>
      </c>
      <c r="H16" s="15" t="n">
        <f aca="false">IFERROR(IS!H17/AVERAGE(BS!G11+BS!G8,BS!H11+BS!H8),"")</f>
        <v>0.0711860558714564</v>
      </c>
      <c r="I16" s="15" t="n">
        <f aca="false">IFERROR(IS!I17/AVERAGE(BS!H11+BS!H8,BS!I11+BS!I8),"")</f>
        <v>0.0743004836824212</v>
      </c>
      <c r="J16" s="15" t="n">
        <f aca="false">IFERROR(IS!J17/AVERAGE(BS!I11+BS!I8,BS!J11+BS!J8),"")</f>
        <v>0.086624760863624</v>
      </c>
      <c r="K16" s="15" t="n">
        <f aca="false">IFERROR(IS!K17/AVERAGE(BS!J11+BS!J8,BS!K11+BS!K8),"")</f>
        <v>-0.00265743707339027</v>
      </c>
      <c r="L16" s="16" t="n">
        <v>0.062</v>
      </c>
      <c r="M16" s="16" t="n">
        <v>0.062</v>
      </c>
      <c r="N16" s="16" t="n">
        <v>0.062</v>
      </c>
      <c r="O16" s="16" t="n">
        <v>0.062</v>
      </c>
      <c r="P16" s="16" t="n">
        <v>0.062</v>
      </c>
    </row>
    <row r="17" customFormat="false" ht="15" hidden="false" customHeight="false" outlineLevel="0" collapsed="false"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  <row r="18" customFormat="false" ht="18" hidden="false" customHeight="true" outlineLevel="0" collapsed="false">
      <c r="A18" s="6" t="s">
        <v>53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customFormat="false" ht="15" hidden="false" customHeight="false" outlineLevel="0" collapsed="false">
      <c r="A19" s="7" t="s">
        <v>54</v>
      </c>
      <c r="C19" s="20" t="n">
        <v>0.0675</v>
      </c>
    </row>
    <row r="20" customFormat="false" ht="15" hidden="false" customHeight="false" outlineLevel="0" collapsed="false">
      <c r="A20" s="7" t="s">
        <v>55</v>
      </c>
      <c r="C20" s="20" t="n">
        <v>0.065</v>
      </c>
    </row>
    <row r="21" customFormat="false" ht="15" hidden="false" customHeight="false" outlineLevel="0" collapsed="false">
      <c r="A21" s="7" t="s">
        <v>56</v>
      </c>
      <c r="C21" s="21" t="n">
        <v>0.9</v>
      </c>
    </row>
    <row r="22" customFormat="false" ht="15" hidden="false" customHeight="false" outlineLevel="0" collapsed="false">
      <c r="A22" s="22" t="s">
        <v>57</v>
      </c>
      <c r="C22" s="23" t="n">
        <f aca="false">C19+C21*C20</f>
        <v>0.126</v>
      </c>
    </row>
    <row r="23" customFormat="false" ht="15" hidden="false" customHeight="false" outlineLevel="0" collapsed="false">
      <c r="A23" s="7" t="s">
        <v>58</v>
      </c>
      <c r="C23" s="20" t="n">
        <v>0.075</v>
      </c>
    </row>
    <row r="24" customFormat="false" ht="15" hidden="false" customHeight="false" outlineLevel="0" collapsed="false">
      <c r="A24" s="7" t="s">
        <v>59</v>
      </c>
      <c r="C24" s="24" t="n">
        <f aca="false">K10</f>
        <v>0.24482721761571</v>
      </c>
    </row>
    <row r="25" customFormat="false" ht="15" hidden="false" customHeight="false" outlineLevel="0" collapsed="false">
      <c r="A25" s="22" t="s">
        <v>60</v>
      </c>
      <c r="C25" s="23" t="n">
        <f aca="false">C23*(1-C24)</f>
        <v>0.0566379586788217</v>
      </c>
    </row>
    <row r="26" customFormat="false" ht="15" hidden="false" customHeight="false" outlineLevel="0" collapsed="false">
      <c r="A26" s="7" t="s">
        <v>61</v>
      </c>
      <c r="C26" s="25" t="n">
        <f aca="false">C36</f>
        <v>757449.235</v>
      </c>
    </row>
    <row r="27" customFormat="false" ht="15" hidden="false" customHeight="false" outlineLevel="0" collapsed="false">
      <c r="A27" s="7" t="s">
        <v>62</v>
      </c>
      <c r="C27" s="25" t="n">
        <f aca="false">BS!K18</f>
        <v>11283</v>
      </c>
    </row>
    <row r="28" customFormat="false" ht="15" hidden="false" customHeight="false" outlineLevel="0" collapsed="false">
      <c r="A28" s="7" t="s">
        <v>63</v>
      </c>
      <c r="C28" s="26" t="n">
        <f aca="false">C26/(C26+C27)</f>
        <v>0.985322587649782</v>
      </c>
    </row>
    <row r="29" customFormat="false" ht="15" hidden="false" customHeight="false" outlineLevel="0" collapsed="false">
      <c r="A29" s="7" t="s">
        <v>64</v>
      </c>
      <c r="C29" s="26" t="n">
        <f aca="false">C27/(C26+C27)</f>
        <v>0.0146774123502184</v>
      </c>
    </row>
    <row r="30" customFormat="false" ht="15" hidden="false" customHeight="false" outlineLevel="0" collapsed="false">
      <c r="A30" s="22" t="s">
        <v>65</v>
      </c>
      <c r="C30" s="27" t="n">
        <f aca="false">C28*C22+C29*C25</f>
        <v>0.124981944718076</v>
      </c>
    </row>
    <row r="32" customFormat="false" ht="15" hidden="false" customHeight="false" outlineLevel="0" collapsed="false">
      <c r="A32" s="22" t="s">
        <v>66</v>
      </c>
      <c r="C32" s="20" t="n">
        <v>0.05</v>
      </c>
    </row>
    <row r="33" customFormat="false" ht="15" hidden="false" customHeight="false" outlineLevel="0" collapsed="false">
      <c r="A33" s="19"/>
      <c r="B33" s="19"/>
      <c r="C33" s="19"/>
      <c r="D33" s="19"/>
      <c r="E33" s="19"/>
      <c r="F33" s="19"/>
    </row>
    <row r="34" customFormat="false" ht="18" hidden="false" customHeight="true" outlineLevel="0" collapsed="false">
      <c r="A34" s="6" t="s">
        <v>67</v>
      </c>
      <c r="B34" s="6"/>
      <c r="C34" s="6"/>
      <c r="D34" s="6"/>
      <c r="E34" s="6"/>
      <c r="F34" s="6"/>
    </row>
    <row r="35" customFormat="false" ht="15" hidden="false" customHeight="false" outlineLevel="0" collapsed="false">
      <c r="A35" s="7" t="s">
        <v>68</v>
      </c>
      <c r="C35" s="28" t="n">
        <v>2093.5</v>
      </c>
    </row>
    <row r="36" customFormat="false" ht="15" hidden="false" customHeight="false" outlineLevel="0" collapsed="false">
      <c r="A36" s="7" t="s">
        <v>69</v>
      </c>
      <c r="C36" s="29" t="n">
        <f aca="false">C35*C37</f>
        <v>757449.235</v>
      </c>
    </row>
    <row r="37" customFormat="false" ht="15" hidden="false" customHeight="false" outlineLevel="0" collapsed="false">
      <c r="A37" s="7" t="s">
        <v>70</v>
      </c>
      <c r="C37" s="30" t="n">
        <v>361.81</v>
      </c>
    </row>
    <row r="38" customFormat="false" ht="15" hidden="false" customHeight="false" outlineLevel="0" collapsed="false">
      <c r="A38" s="7" t="s">
        <v>71</v>
      </c>
      <c r="C38" s="30" t="n">
        <v>1</v>
      </c>
    </row>
  </sheetData>
  <mergeCells count="3">
    <mergeCell ref="A4:P4"/>
    <mergeCell ref="A18:P18"/>
    <mergeCell ref="A34:F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395"/>
    <pageSetUpPr fitToPage="false"/>
  </sheetPr>
  <dimension ref="A1:P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16" min="2" style="1" width="11"/>
  </cols>
  <sheetData>
    <row r="1" customFormat="false" ht="17.35" hidden="false" customHeight="false" outlineLevel="0" collapsed="false">
      <c r="A1" s="11" t="s">
        <v>72</v>
      </c>
    </row>
    <row r="2" customFormat="false" ht="15" hidden="false" customHeight="false" outlineLevel="0" collapsed="false">
      <c r="A2" s="31" t="s">
        <v>73</v>
      </c>
    </row>
    <row r="4" customFormat="false" ht="18" hidden="false" customHeight="true" outlineLevel="0" collapsed="false">
      <c r="A4" s="6" t="s">
        <v>74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customFormat="false" ht="15.75" hidden="false" customHeight="true" outlineLevel="0" collapsed="false">
      <c r="A5" s="13" t="s">
        <v>26</v>
      </c>
      <c r="B5" s="14" t="s">
        <v>27</v>
      </c>
      <c r="C5" s="14" t="s">
        <v>28</v>
      </c>
      <c r="D5" s="14" t="s">
        <v>29</v>
      </c>
      <c r="E5" s="14" t="s">
        <v>30</v>
      </c>
      <c r="F5" s="14" t="s">
        <v>31</v>
      </c>
      <c r="G5" s="14" t="s">
        <v>32</v>
      </c>
      <c r="H5" s="14" t="s">
        <v>33</v>
      </c>
      <c r="I5" s="14" t="s">
        <v>34</v>
      </c>
      <c r="J5" s="14" t="s">
        <v>35</v>
      </c>
      <c r="K5" s="14" t="s">
        <v>36</v>
      </c>
      <c r="L5" s="14" t="s">
        <v>37</v>
      </c>
      <c r="M5" s="14" t="s">
        <v>38</v>
      </c>
      <c r="N5" s="14" t="s">
        <v>39</v>
      </c>
      <c r="O5" s="14" t="s">
        <v>40</v>
      </c>
      <c r="P5" s="14" t="s">
        <v>41</v>
      </c>
    </row>
    <row r="6" customFormat="false" ht="15" hidden="false" customHeight="false" outlineLevel="0" collapsed="false">
      <c r="A6" s="32" t="s">
        <v>75</v>
      </c>
      <c r="B6" s="8" t="n">
        <v>117966</v>
      </c>
      <c r="C6" s="8" t="n">
        <v>123104</v>
      </c>
      <c r="D6" s="8" t="n">
        <v>146463</v>
      </c>
      <c r="E6" s="8" t="n">
        <v>156949</v>
      </c>
      <c r="F6" s="8" t="n">
        <v>164177</v>
      </c>
      <c r="G6" s="8" t="n">
        <v>191754</v>
      </c>
      <c r="H6" s="8" t="n">
        <v>225458</v>
      </c>
      <c r="I6" s="8" t="n">
        <v>240893</v>
      </c>
      <c r="J6" s="8" t="n">
        <v>255324</v>
      </c>
      <c r="K6" s="8" t="n">
        <v>267021</v>
      </c>
      <c r="L6" s="33" t="n">
        <f aca="false">IS!K6*(1+Assumptions!L6)</f>
        <v>285712.47</v>
      </c>
      <c r="M6" s="33" t="n">
        <f aca="false">IS!L6*(1+Assumptions!M6)</f>
        <v>307140.90525</v>
      </c>
      <c r="N6" s="33" t="n">
        <f aca="false">IS!M6*(1+Assumptions!N6)</f>
        <v>331712.17767</v>
      </c>
      <c r="O6" s="33" t="n">
        <f aca="false">IS!N6*(1+Assumptions!O6)</f>
        <v>358249.1518836</v>
      </c>
      <c r="P6" s="33" t="n">
        <f aca="false">IS!O6*(1+Assumptions!P6)</f>
        <v>386909.084034288</v>
      </c>
    </row>
    <row r="7" customFormat="false" ht="15" hidden="false" customHeight="false" outlineLevel="0" collapsed="false">
      <c r="A7" s="34" t="s">
        <v>76</v>
      </c>
      <c r="C7" s="35" t="n">
        <f aca="false">IFERROR(C6/B6-1,"")</f>
        <v>0.0435549226048184</v>
      </c>
      <c r="D7" s="35" t="n">
        <f aca="false">IFERROR(D6/C6-1,"")</f>
        <v>0.189750129971406</v>
      </c>
      <c r="E7" s="35" t="n">
        <f aca="false">IFERROR(E6/D6-1,"")</f>
        <v>0.0715948737906502</v>
      </c>
      <c r="F7" s="35" t="n">
        <f aca="false">IFERROR(F6/E6-1,"")</f>
        <v>0.0460531765095669</v>
      </c>
      <c r="G7" s="35" t="n">
        <f aca="false">IFERROR(G6/F6-1,"")</f>
        <v>0.167971153084781</v>
      </c>
      <c r="H7" s="35" t="n">
        <f aca="false">IFERROR(H6/G6-1,"")</f>
        <v>0.175766867966249</v>
      </c>
      <c r="I7" s="35" t="n">
        <f aca="false">IFERROR(I6/H6-1,"")</f>
        <v>0.0684606445546399</v>
      </c>
      <c r="J7" s="35" t="n">
        <f aca="false">IFERROR(J6/I6-1,"")</f>
        <v>0.0599062654373519</v>
      </c>
      <c r="K7" s="35" t="n">
        <f aca="false">IFERROR(K6/J6-1,"")</f>
        <v>0.0458123795647882</v>
      </c>
      <c r="L7" s="35" t="n">
        <f aca="false">IFERROR(L6/K6-1,"")</f>
        <v>0.0700000000000001</v>
      </c>
      <c r="M7" s="35" t="n">
        <f aca="false">IFERROR(M6/L6-1,"")</f>
        <v>0.075</v>
      </c>
      <c r="N7" s="35" t="n">
        <f aca="false">IFERROR(N6/M6-1,"")</f>
        <v>0.0800000000000001</v>
      </c>
      <c r="O7" s="35" t="n">
        <f aca="false">IFERROR(O6/N6-1,"")</f>
        <v>0.0800000000000001</v>
      </c>
      <c r="P7" s="35" t="n">
        <f aca="false">IFERROR(P6/O6-1,"")</f>
        <v>0.0800000000000001</v>
      </c>
    </row>
    <row r="9" customFormat="false" ht="15" hidden="false" customHeight="false" outlineLevel="0" collapsed="false">
      <c r="A9" s="36" t="s">
        <v>77</v>
      </c>
    </row>
    <row r="10" customFormat="false" ht="15" hidden="false" customHeight="false" outlineLevel="0" collapsed="false">
      <c r="A10" s="7" t="s">
        <v>78</v>
      </c>
      <c r="B10" s="8" t="n">
        <v>61621</v>
      </c>
      <c r="C10" s="8" t="n">
        <v>66396</v>
      </c>
      <c r="D10" s="8" t="n">
        <v>78246</v>
      </c>
      <c r="E10" s="8" t="n">
        <v>85952</v>
      </c>
      <c r="F10" s="8" t="n">
        <v>91814</v>
      </c>
      <c r="G10" s="8" t="n">
        <v>107554</v>
      </c>
      <c r="H10" s="8" t="n">
        <v>127522</v>
      </c>
      <c r="I10" s="8" t="n">
        <v>140131</v>
      </c>
      <c r="J10" s="8" t="n">
        <v>145788</v>
      </c>
      <c r="K10" s="8" t="n">
        <v>154994</v>
      </c>
      <c r="L10" s="37" t="s">
        <v>79</v>
      </c>
      <c r="M10" s="37" t="s">
        <v>79</v>
      </c>
      <c r="N10" s="37" t="s">
        <v>79</v>
      </c>
      <c r="O10" s="37" t="s">
        <v>79</v>
      </c>
      <c r="P10" s="37" t="s">
        <v>79</v>
      </c>
    </row>
    <row r="11" customFormat="false" ht="15" hidden="false" customHeight="false" outlineLevel="0" collapsed="false">
      <c r="A11" s="7" t="s">
        <v>80</v>
      </c>
      <c r="B11" s="8" t="n">
        <v>2809</v>
      </c>
      <c r="C11" s="8" t="n">
        <v>2700</v>
      </c>
      <c r="D11" s="8" t="n">
        <v>2270</v>
      </c>
      <c r="E11" s="8" t="n">
        <v>1905</v>
      </c>
      <c r="F11" s="8" t="n">
        <v>1462</v>
      </c>
      <c r="G11" s="8" t="n">
        <v>1163</v>
      </c>
      <c r="H11" s="8" t="n">
        <v>1881</v>
      </c>
      <c r="I11" s="8" t="n">
        <v>3702</v>
      </c>
      <c r="J11" s="8" t="n">
        <v>11648</v>
      </c>
      <c r="K11" s="8" t="n">
        <v>4399</v>
      </c>
      <c r="L11" s="37" t="s">
        <v>79</v>
      </c>
      <c r="M11" s="37" t="s">
        <v>79</v>
      </c>
      <c r="N11" s="37" t="s">
        <v>79</v>
      </c>
      <c r="O11" s="37" t="s">
        <v>79</v>
      </c>
      <c r="P11" s="37" t="s">
        <v>79</v>
      </c>
    </row>
    <row r="12" customFormat="false" ht="15" hidden="false" customHeight="false" outlineLevel="0" collapsed="false">
      <c r="A12" s="7" t="s">
        <v>81</v>
      </c>
      <c r="B12" s="8" t="n">
        <v>16392</v>
      </c>
      <c r="C12" s="8" t="n">
        <v>16808</v>
      </c>
      <c r="D12" s="8" t="n">
        <v>20387</v>
      </c>
      <c r="E12" s="8" t="n">
        <v>20527</v>
      </c>
      <c r="F12" s="8" t="n">
        <v>18322</v>
      </c>
      <c r="G12" s="8" t="n">
        <v>23187</v>
      </c>
      <c r="H12" s="8" t="n">
        <v>28913</v>
      </c>
      <c r="I12" s="8" t="n">
        <v>24151</v>
      </c>
      <c r="J12" s="8" t="n">
        <v>20729</v>
      </c>
      <c r="K12" s="8" t="n">
        <v>24434</v>
      </c>
      <c r="L12" s="37" t="s">
        <v>79</v>
      </c>
      <c r="M12" s="37" t="s">
        <v>79</v>
      </c>
      <c r="N12" s="37" t="s">
        <v>79</v>
      </c>
      <c r="O12" s="37" t="s">
        <v>79</v>
      </c>
      <c r="P12" s="37" t="s">
        <v>79</v>
      </c>
    </row>
    <row r="13" customFormat="false" ht="15" hidden="false" customHeight="false" outlineLevel="0" collapsed="false">
      <c r="A13" s="7" t="s">
        <v>82</v>
      </c>
      <c r="B13" s="8" t="n">
        <v>4834</v>
      </c>
      <c r="C13" s="8" t="n">
        <v>4684</v>
      </c>
      <c r="D13" s="8" t="n">
        <v>6054</v>
      </c>
      <c r="E13" s="8" t="n">
        <v>6456</v>
      </c>
      <c r="F13" s="8" t="n">
        <v>6033</v>
      </c>
      <c r="G13" s="8" t="n">
        <v>6793</v>
      </c>
      <c r="H13" s="8" t="n">
        <v>7883</v>
      </c>
      <c r="I13" s="8" t="n">
        <v>8613</v>
      </c>
      <c r="J13" s="8" t="n">
        <v>9752</v>
      </c>
      <c r="K13" s="8" t="n">
        <v>10796</v>
      </c>
      <c r="L13" s="37" t="s">
        <v>79</v>
      </c>
      <c r="M13" s="37" t="s">
        <v>79</v>
      </c>
      <c r="N13" s="37" t="s">
        <v>79</v>
      </c>
      <c r="O13" s="37" t="s">
        <v>79</v>
      </c>
      <c r="P13" s="37" t="s">
        <v>79</v>
      </c>
    </row>
    <row r="14" customFormat="false" ht="15" hidden="false" customHeight="false" outlineLevel="0" collapsed="false">
      <c r="A14" s="32" t="s">
        <v>83</v>
      </c>
      <c r="B14" s="38" t="n">
        <f aca="false">SUM(B10:B13)</f>
        <v>85656</v>
      </c>
      <c r="C14" s="38" t="n">
        <f aca="false">SUM(C10:C13)</f>
        <v>90588</v>
      </c>
      <c r="D14" s="38" t="n">
        <f aca="false">SUM(D10:D13)</f>
        <v>106957</v>
      </c>
      <c r="E14" s="38" t="n">
        <f aca="false">SUM(E10:E13)</f>
        <v>114840</v>
      </c>
      <c r="F14" s="38" t="n">
        <f aca="false">SUM(F10:F13)</f>
        <v>117631</v>
      </c>
      <c r="G14" s="38" t="n">
        <f aca="false">SUM(G10:G13)</f>
        <v>138697</v>
      </c>
      <c r="H14" s="38" t="n">
        <f aca="false">SUM(H10:H13)</f>
        <v>166199</v>
      </c>
      <c r="I14" s="38" t="n">
        <f aca="false">SUM(I10:I13)</f>
        <v>176597</v>
      </c>
      <c r="J14" s="38" t="n">
        <f aca="false">SUM(J10:J13)</f>
        <v>187917</v>
      </c>
      <c r="K14" s="38" t="n">
        <f aca="false">SUM(K10:K13)</f>
        <v>194623</v>
      </c>
      <c r="L14" s="38" t="n">
        <f aca="false">IS!L6*(1-Assumptions!L7)</f>
        <v>209998.66545</v>
      </c>
      <c r="M14" s="38" t="n">
        <f aca="false">IS!M6*(1-Assumptions!M7)</f>
        <v>224212.8608325</v>
      </c>
      <c r="N14" s="38" t="n">
        <f aca="false">IS!N6*(1-Assumptions!N7)</f>
        <v>242149.8896991</v>
      </c>
      <c r="O14" s="38" t="n">
        <f aca="false">IS!O6*(1-Assumptions!O7)</f>
        <v>259730.63511561</v>
      </c>
      <c r="P14" s="38" t="n">
        <f aca="false">IS!P6*(1-Assumptions!P7)</f>
        <v>280509.085924859</v>
      </c>
    </row>
    <row r="15" customFormat="false" ht="13.5" hidden="false" customHeight="true" outlineLevel="0" collapsed="false">
      <c r="A15" s="32" t="s">
        <v>84</v>
      </c>
      <c r="B15" s="33" t="n">
        <f aca="false">B6-B14</f>
        <v>32310</v>
      </c>
      <c r="C15" s="33" t="n">
        <f aca="false">C6-C14</f>
        <v>32516</v>
      </c>
      <c r="D15" s="33" t="n">
        <f aca="false">D6-D14</f>
        <v>39506</v>
      </c>
      <c r="E15" s="33" t="n">
        <f aca="false">E6-E14</f>
        <v>42109</v>
      </c>
      <c r="F15" s="33" t="n">
        <f aca="false">F6-F14</f>
        <v>46546</v>
      </c>
      <c r="G15" s="33" t="n">
        <f aca="false">G6-G14</f>
        <v>53057</v>
      </c>
      <c r="H15" s="33" t="n">
        <f aca="false">H6-H14</f>
        <v>59259</v>
      </c>
      <c r="I15" s="33" t="n">
        <f aca="false">I6-I14</f>
        <v>64296</v>
      </c>
      <c r="J15" s="33" t="n">
        <f aca="false">J6-J14</f>
        <v>67407</v>
      </c>
      <c r="K15" s="33" t="n">
        <f aca="false">K6-K14</f>
        <v>72398</v>
      </c>
      <c r="L15" s="33" t="n">
        <f aca="false">L6-L14</f>
        <v>75713.80455</v>
      </c>
      <c r="M15" s="33" t="n">
        <f aca="false">M6-M14</f>
        <v>82928.0444175</v>
      </c>
      <c r="N15" s="33" t="n">
        <f aca="false">N6-N14</f>
        <v>89562.2879709</v>
      </c>
      <c r="O15" s="33" t="n">
        <f aca="false">O6-O14</f>
        <v>98518.51676799</v>
      </c>
      <c r="P15" s="33" t="n">
        <f aca="false">P6-P14</f>
        <v>106399.998109429</v>
      </c>
    </row>
    <row r="16" customFormat="false" ht="15" hidden="false" customHeight="false" outlineLevel="0" collapsed="false">
      <c r="A16" s="34" t="s">
        <v>85</v>
      </c>
      <c r="B16" s="35" t="n">
        <f aca="false">B15/B6</f>
        <v>0.273892477493515</v>
      </c>
      <c r="C16" s="35" t="n">
        <f aca="false">C15/C6</f>
        <v>0.264134390434104</v>
      </c>
      <c r="D16" s="35" t="n">
        <f aca="false">D15/D6</f>
        <v>0.26973365286796</v>
      </c>
      <c r="E16" s="35" t="n">
        <f aca="false">E15/E6</f>
        <v>0.26829734499742</v>
      </c>
      <c r="F16" s="35" t="n">
        <f aca="false">F15/F6</f>
        <v>0.283511088642136</v>
      </c>
      <c r="G16" s="35" t="n">
        <f aca="false">G15/G6</f>
        <v>0.276693054642928</v>
      </c>
      <c r="H16" s="35" t="n">
        <f aca="false">H15/H6</f>
        <v>0.262838311348455</v>
      </c>
      <c r="I16" s="35" t="n">
        <f aca="false">I15/I6</f>
        <v>0.266906883969231</v>
      </c>
      <c r="J16" s="35" t="n">
        <f aca="false">J15/J6</f>
        <v>0.264005733891056</v>
      </c>
      <c r="K16" s="35" t="n">
        <f aca="false">K15/K6</f>
        <v>0.271132233045341</v>
      </c>
      <c r="L16" s="35" t="n">
        <f aca="false">L15/L6</f>
        <v>0.265</v>
      </c>
      <c r="M16" s="35" t="n">
        <f aca="false">M15/M6</f>
        <v>0.27</v>
      </c>
      <c r="N16" s="35" t="n">
        <f aca="false">N15/N6</f>
        <v>0.27</v>
      </c>
      <c r="O16" s="35" t="n">
        <f aca="false">O15/O6</f>
        <v>0.275</v>
      </c>
      <c r="P16" s="35" t="n">
        <f aca="false">P15/P6</f>
        <v>0.275</v>
      </c>
    </row>
    <row r="17" customFormat="false" ht="15" hidden="false" customHeight="false" outlineLevel="0" collapsed="false">
      <c r="A17" s="7" t="s">
        <v>86</v>
      </c>
      <c r="B17" s="8" t="n">
        <v>4221</v>
      </c>
      <c r="C17" s="8" t="n">
        <v>3642</v>
      </c>
      <c r="D17" s="8" t="n">
        <v>4311</v>
      </c>
      <c r="E17" s="8" t="n">
        <v>4592</v>
      </c>
      <c r="F17" s="8" t="n">
        <v>1916</v>
      </c>
      <c r="G17" s="8" t="n">
        <v>4018</v>
      </c>
      <c r="H17" s="8" t="n">
        <v>3449</v>
      </c>
      <c r="I17" s="8" t="n">
        <v>3464</v>
      </c>
      <c r="J17" s="8" t="n">
        <v>3962</v>
      </c>
      <c r="K17" s="8" t="n">
        <v>-124</v>
      </c>
      <c r="L17" s="25" t="n">
        <f aca="false">Assumptions!L16*(BS!K11+BS!K8)</f>
        <v>2907.552</v>
      </c>
      <c r="M17" s="25" t="n">
        <f aca="false">Assumptions!M16*(BS!L11+BS!L8)</f>
        <v>3014.60309060889</v>
      </c>
      <c r="N17" s="25" t="n">
        <f aca="false">Assumptions!N16*(BS!M11+BS!M8)</f>
        <v>3171.27612368774</v>
      </c>
      <c r="O17" s="25" t="n">
        <f aca="false">Assumptions!O16*(BS!N11+BS!N8)</f>
        <v>3434.92653638636</v>
      </c>
      <c r="P17" s="25" t="n">
        <f aca="false">Assumptions!P16*(BS!O11+BS!O8)</f>
        <v>3680.70404828597</v>
      </c>
    </row>
    <row r="18" customFormat="false" ht="15" hidden="false" customHeight="false" outlineLevel="0" collapsed="false">
      <c r="A18" s="7" t="s">
        <v>87</v>
      </c>
      <c r="B18" s="8" t="n">
        <v>1987</v>
      </c>
      <c r="C18" s="8" t="n">
        <v>2014</v>
      </c>
      <c r="D18" s="8" t="n">
        <v>2056</v>
      </c>
      <c r="E18" s="8" t="n">
        <v>3529</v>
      </c>
      <c r="F18" s="8" t="n">
        <v>4065</v>
      </c>
      <c r="G18" s="8" t="n">
        <v>4604</v>
      </c>
      <c r="H18" s="8" t="n">
        <v>5022</v>
      </c>
      <c r="I18" s="8" t="n">
        <v>4985</v>
      </c>
      <c r="J18" s="8" t="n">
        <v>5242</v>
      </c>
      <c r="K18" s="8" t="n">
        <v>5560</v>
      </c>
      <c r="L18" s="29" t="n">
        <f aca="false">Assumptions!L8*L6</f>
        <v>6285.67434</v>
      </c>
      <c r="M18" s="29" t="n">
        <f aca="false">Assumptions!M8*M6</f>
        <v>6757.0999155</v>
      </c>
      <c r="N18" s="29" t="n">
        <f aca="false">Assumptions!N8*N6</f>
        <v>7297.66790874</v>
      </c>
      <c r="O18" s="29" t="n">
        <f aca="false">Assumptions!O8*O6</f>
        <v>7881.4813414392</v>
      </c>
      <c r="P18" s="29" t="n">
        <f aca="false">Assumptions!P8*P6</f>
        <v>8511.99984875434</v>
      </c>
    </row>
    <row r="19" customFormat="false" ht="15" hidden="false" customHeight="false" outlineLevel="0" collapsed="false">
      <c r="A19" s="32" t="s">
        <v>88</v>
      </c>
      <c r="B19" s="33" t="n">
        <f aca="false">B15-B18</f>
        <v>30323</v>
      </c>
      <c r="C19" s="33" t="n">
        <f aca="false">C15-C18</f>
        <v>30502</v>
      </c>
      <c r="D19" s="33" t="n">
        <f aca="false">D15-D18</f>
        <v>37450</v>
      </c>
      <c r="E19" s="33" t="n">
        <f aca="false">E15-E18</f>
        <v>38580</v>
      </c>
      <c r="F19" s="33" t="n">
        <f aca="false">F15-F18</f>
        <v>42481</v>
      </c>
      <c r="G19" s="33" t="n">
        <f aca="false">G15-G18</f>
        <v>48453</v>
      </c>
      <c r="H19" s="33" t="n">
        <f aca="false">H15-H18</f>
        <v>54237</v>
      </c>
      <c r="I19" s="33" t="n">
        <f aca="false">I15-I18</f>
        <v>59311</v>
      </c>
      <c r="J19" s="33" t="n">
        <f aca="false">J15-J18</f>
        <v>62165</v>
      </c>
      <c r="K19" s="33" t="n">
        <f aca="false">K15-K18</f>
        <v>66838</v>
      </c>
      <c r="L19" s="33" t="n">
        <f aca="false">L15-L18</f>
        <v>69428.13021</v>
      </c>
      <c r="M19" s="33" t="n">
        <f aca="false">M15-M18</f>
        <v>76170.944502</v>
      </c>
      <c r="N19" s="33" t="n">
        <f aca="false">N15-N18</f>
        <v>82264.62006216</v>
      </c>
      <c r="O19" s="33" t="n">
        <f aca="false">O15-O18</f>
        <v>90637.0354265508</v>
      </c>
      <c r="P19" s="33" t="n">
        <f aca="false">P15-P18</f>
        <v>97887.9982606749</v>
      </c>
    </row>
    <row r="20" customFormat="false" ht="15" hidden="false" customHeight="false" outlineLevel="0" collapsed="false">
      <c r="A20" s="7" t="s">
        <v>89</v>
      </c>
      <c r="B20" s="8" t="n">
        <v>32</v>
      </c>
      <c r="C20" s="8" t="n">
        <v>52</v>
      </c>
      <c r="D20" s="8" t="n">
        <v>198</v>
      </c>
      <c r="E20" s="8" t="n">
        <v>924</v>
      </c>
      <c r="F20" s="8" t="n">
        <v>637</v>
      </c>
      <c r="G20" s="8" t="n">
        <v>784</v>
      </c>
      <c r="H20" s="8" t="n">
        <v>779</v>
      </c>
      <c r="I20" s="8" t="n">
        <v>778</v>
      </c>
      <c r="J20" s="8" t="n">
        <v>796</v>
      </c>
      <c r="K20" s="8" t="n">
        <v>1227</v>
      </c>
      <c r="L20" s="25" t="n">
        <f aca="false">Assumptions!L15*BS!K18</f>
        <v>846.225</v>
      </c>
      <c r="M20" s="25" t="n">
        <f aca="false">Assumptions!M15*BS!L18</f>
        <v>846.225</v>
      </c>
      <c r="N20" s="25" t="n">
        <f aca="false">Assumptions!N15*BS!M18</f>
        <v>846.225</v>
      </c>
      <c r="O20" s="25" t="n">
        <f aca="false">Assumptions!O15*BS!N18</f>
        <v>846.225</v>
      </c>
      <c r="P20" s="25" t="n">
        <f aca="false">Assumptions!P15*BS!O18</f>
        <v>846.225</v>
      </c>
    </row>
    <row r="21" customFormat="false" ht="15" hidden="false" customHeight="false" outlineLevel="0" collapsed="false">
      <c r="A21" s="32" t="s">
        <v>90</v>
      </c>
      <c r="B21" s="38" t="n">
        <f aca="false">B19+B17-B20</f>
        <v>34512</v>
      </c>
      <c r="C21" s="38" t="n">
        <f aca="false">C19+C17-C20</f>
        <v>34092</v>
      </c>
      <c r="D21" s="38" t="n">
        <f aca="false">D19+D17-D20</f>
        <v>41563</v>
      </c>
      <c r="E21" s="38" t="n">
        <f aca="false">E19+E17-E20</f>
        <v>42248</v>
      </c>
      <c r="F21" s="38" t="n">
        <f aca="false">F19+F17-F20</f>
        <v>43760</v>
      </c>
      <c r="G21" s="38" t="n">
        <f aca="false">G19+G17-G20</f>
        <v>51687</v>
      </c>
      <c r="H21" s="38" t="n">
        <f aca="false">H19+H17-H20</f>
        <v>56907</v>
      </c>
      <c r="I21" s="38" t="n">
        <f aca="false">I19+I17-I20</f>
        <v>61997</v>
      </c>
      <c r="J21" s="38" t="n">
        <f aca="false">J19+J17-J20</f>
        <v>65331</v>
      </c>
      <c r="K21" s="38" t="n">
        <f aca="false">K19+K17-K20</f>
        <v>65487</v>
      </c>
      <c r="L21" s="38" t="n">
        <f aca="false">L19+L17-L20</f>
        <v>71489.45721</v>
      </c>
      <c r="M21" s="38" t="n">
        <f aca="false">M19+M17-M20</f>
        <v>78339.3225926089</v>
      </c>
      <c r="N21" s="38" t="n">
        <f aca="false">N19+N17-N20</f>
        <v>84589.6711858478</v>
      </c>
      <c r="O21" s="38" t="n">
        <f aca="false">O19+O17-O20</f>
        <v>93225.7369629372</v>
      </c>
      <c r="P21" s="38" t="n">
        <f aca="false">P19+P17-P20</f>
        <v>100722.477308961</v>
      </c>
    </row>
    <row r="22" customFormat="false" ht="15" hidden="false" customHeight="false" outlineLevel="0" collapsed="false">
      <c r="A22" s="7" t="s">
        <v>91</v>
      </c>
      <c r="B22" s="8" t="n">
        <v>8156</v>
      </c>
      <c r="C22" s="8" t="n">
        <v>8212</v>
      </c>
      <c r="D22" s="8" t="n">
        <v>10001</v>
      </c>
      <c r="E22" s="8" t="n">
        <v>9801</v>
      </c>
      <c r="F22" s="8" t="n">
        <v>11198</v>
      </c>
      <c r="G22" s="8" t="n">
        <v>13238</v>
      </c>
      <c r="H22" s="8" t="n">
        <v>14604</v>
      </c>
      <c r="I22" s="8" t="n">
        <v>15898</v>
      </c>
      <c r="J22" s="8" t="n">
        <v>16534</v>
      </c>
      <c r="K22" s="8" t="n">
        <v>16033</v>
      </c>
      <c r="L22" s="29" t="n">
        <f aca="false">Assumptions!L10*L21</f>
        <v>17872.3643025</v>
      </c>
      <c r="M22" s="29" t="n">
        <f aca="false">Assumptions!M10*M21</f>
        <v>19584.8306481522</v>
      </c>
      <c r="N22" s="29" t="n">
        <f aca="false">Assumptions!N10*N21</f>
        <v>21147.4177964619</v>
      </c>
      <c r="O22" s="29" t="n">
        <f aca="false">Assumptions!O10*O21</f>
        <v>23306.4342407343</v>
      </c>
      <c r="P22" s="29" t="n">
        <f aca="false">Assumptions!P10*P21</f>
        <v>25180.6193272402</v>
      </c>
    </row>
    <row r="23" customFormat="false" ht="15" hidden="false" customHeight="false" outlineLevel="0" collapsed="false">
      <c r="A23" s="34" t="s">
        <v>92</v>
      </c>
      <c r="B23" s="35" t="n">
        <f aca="false">B22/B21</f>
        <v>0.236323597589244</v>
      </c>
      <c r="C23" s="35" t="n">
        <f aca="false">C22/C21</f>
        <v>0.240877625249325</v>
      </c>
      <c r="D23" s="35" t="n">
        <f aca="false">D22/D21</f>
        <v>0.240622669200972</v>
      </c>
      <c r="E23" s="35" t="n">
        <f aca="false">E22/E21</f>
        <v>0.2319873130089</v>
      </c>
      <c r="F23" s="35" t="n">
        <f aca="false">F22/F21</f>
        <v>0.255895795246801</v>
      </c>
      <c r="G23" s="35" t="n">
        <f aca="false">G22/G21</f>
        <v>0.256118559792598</v>
      </c>
      <c r="H23" s="35" t="n">
        <f aca="false">H22/H21</f>
        <v>0.256629237176446</v>
      </c>
      <c r="I23" s="35" t="n">
        <f aca="false">I22/I21</f>
        <v>0.256431762827234</v>
      </c>
      <c r="J23" s="35" t="n">
        <f aca="false">J22/J21</f>
        <v>0.253080467159541</v>
      </c>
      <c r="K23" s="35" t="n">
        <f aca="false">K22/K21</f>
        <v>0.24482721761571</v>
      </c>
      <c r="L23" s="35" t="n">
        <f aca="false">L22/L21</f>
        <v>0.25</v>
      </c>
      <c r="M23" s="35" t="n">
        <f aca="false">M22/M21</f>
        <v>0.25</v>
      </c>
      <c r="N23" s="35" t="n">
        <f aca="false">N22/N21</f>
        <v>0.25</v>
      </c>
      <c r="O23" s="35" t="n">
        <f aca="false">O22/O21</f>
        <v>0.25</v>
      </c>
      <c r="P23" s="35" t="n">
        <f aca="false">P22/P21</f>
        <v>0.25</v>
      </c>
    </row>
    <row r="24" customFormat="false" ht="15" hidden="false" customHeight="false" outlineLevel="0" collapsed="false">
      <c r="A24" s="32" t="s">
        <v>93</v>
      </c>
      <c r="B24" s="39" t="n">
        <f aca="false">B21-B22</f>
        <v>26356</v>
      </c>
      <c r="C24" s="39" t="n">
        <f aca="false">C21-C22</f>
        <v>25880</v>
      </c>
      <c r="D24" s="39" t="n">
        <f aca="false">D21-D22</f>
        <v>31562</v>
      </c>
      <c r="E24" s="39" t="n">
        <f aca="false">E21-E22</f>
        <v>32447</v>
      </c>
      <c r="F24" s="39" t="n">
        <f aca="false">F21-F22</f>
        <v>32562</v>
      </c>
      <c r="G24" s="39" t="n">
        <f aca="false">G21-G22</f>
        <v>38449</v>
      </c>
      <c r="H24" s="39" t="n">
        <f aca="false">H21-H22</f>
        <v>42303</v>
      </c>
      <c r="I24" s="39" t="n">
        <f aca="false">I21-I22</f>
        <v>46099</v>
      </c>
      <c r="J24" s="39" t="n">
        <f aca="false">J21-J22</f>
        <v>48797</v>
      </c>
      <c r="K24" s="39" t="n">
        <f aca="false">K21-K22</f>
        <v>49454</v>
      </c>
      <c r="L24" s="39" t="n">
        <f aca="false">L21-L22</f>
        <v>53617.0929075</v>
      </c>
      <c r="M24" s="39" t="n">
        <f aca="false">M21-M22</f>
        <v>58754.4919444567</v>
      </c>
      <c r="N24" s="39" t="n">
        <f aca="false">N21-N22</f>
        <v>63442.2533893858</v>
      </c>
      <c r="O24" s="39" t="n">
        <f aca="false">O21-O22</f>
        <v>69919.3027222029</v>
      </c>
      <c r="P24" s="39" t="n">
        <f aca="false">P21-P22</f>
        <v>75541.8579817206</v>
      </c>
    </row>
    <row r="25" customFormat="false" ht="15" hidden="false" customHeight="false" outlineLevel="0" collapsed="false">
      <c r="A25" s="34" t="s">
        <v>94</v>
      </c>
      <c r="B25" s="35" t="n">
        <f aca="false">B24/B6</f>
        <v>0.223420307546242</v>
      </c>
      <c r="C25" s="35" t="n">
        <f aca="false">C24/C6</f>
        <v>0.210228749675072</v>
      </c>
      <c r="D25" s="35" t="n">
        <f aca="false">D24/D6</f>
        <v>0.215494698319712</v>
      </c>
      <c r="E25" s="35" t="n">
        <f aca="false">E24/E6</f>
        <v>0.206735946071654</v>
      </c>
      <c r="F25" s="35" t="n">
        <f aca="false">F24/F6</f>
        <v>0.198334724108736</v>
      </c>
      <c r="G25" s="35" t="n">
        <f aca="false">G24/G6</f>
        <v>0.200512114480011</v>
      </c>
      <c r="H25" s="35" t="n">
        <f aca="false">H24/H6</f>
        <v>0.187631399196303</v>
      </c>
      <c r="I25" s="35" t="n">
        <f aca="false">I24/I6</f>
        <v>0.191367121502078</v>
      </c>
      <c r="J25" s="35" t="n">
        <f aca="false">J24/J6</f>
        <v>0.191117952092244</v>
      </c>
      <c r="K25" s="35" t="n">
        <f aca="false">K24/K6</f>
        <v>0.185206406986716</v>
      </c>
      <c r="L25" s="35" t="n">
        <f aca="false">L24/L6</f>
        <v>0.187661017762018</v>
      </c>
      <c r="M25" s="35" t="n">
        <f aca="false">M24/M6</f>
        <v>0.191294910382038</v>
      </c>
      <c r="N25" s="35" t="n">
        <f aca="false">N24/N6</f>
        <v>0.191256931943272</v>
      </c>
      <c r="O25" s="35" t="n">
        <f aca="false">O24/O6</f>
        <v>0.195169485690564</v>
      </c>
      <c r="P25" s="35" t="n">
        <f aca="false">P24/P6</f>
        <v>0.195244467237751</v>
      </c>
    </row>
    <row r="26" customFormat="false" ht="15" hidden="false" customHeight="false" outlineLevel="0" collapsed="false">
      <c r="A26" s="7" t="s">
        <v>95</v>
      </c>
      <c r="B26" s="8" t="n">
        <v>9259</v>
      </c>
      <c r="C26" s="8" t="n">
        <v>9550</v>
      </c>
      <c r="D26" s="8" t="n">
        <v>11250</v>
      </c>
      <c r="E26" s="8" t="n">
        <v>27375</v>
      </c>
      <c r="F26" s="8" t="n">
        <v>14060</v>
      </c>
      <c r="G26" s="8" t="n">
        <v>15738</v>
      </c>
      <c r="H26" s="8" t="n">
        <v>42090</v>
      </c>
      <c r="I26" s="8" t="n">
        <v>26426</v>
      </c>
      <c r="J26" s="8" t="n">
        <v>45612</v>
      </c>
      <c r="K26" s="8" t="n">
        <v>39820</v>
      </c>
      <c r="L26" s="29" t="n">
        <f aca="false">Assumptions!L14*L24</f>
        <v>42893.674326</v>
      </c>
      <c r="M26" s="29" t="n">
        <f aca="false">Assumptions!M14*M24</f>
        <v>47003.5935555653</v>
      </c>
      <c r="N26" s="29" t="n">
        <f aca="false">Assumptions!N14*N24</f>
        <v>50753.8027115087</v>
      </c>
      <c r="O26" s="29" t="n">
        <f aca="false">Assumptions!O14*O24</f>
        <v>55935.4421777623</v>
      </c>
      <c r="P26" s="29" t="n">
        <f aca="false">Assumptions!P14*P24</f>
        <v>60433.4863853765</v>
      </c>
    </row>
    <row r="27" customFormat="false" ht="15" hidden="false" customHeight="false" outlineLevel="0" collapsed="false">
      <c r="A27" s="7" t="s">
        <v>96</v>
      </c>
      <c r="B27" s="29" t="n">
        <f aca="false">B24-B26</f>
        <v>17097</v>
      </c>
      <c r="C27" s="29" t="n">
        <f aca="false">C24-C26</f>
        <v>16330</v>
      </c>
      <c r="D27" s="29" t="n">
        <f aca="false">D24-D26</f>
        <v>20312</v>
      </c>
      <c r="E27" s="29" t="n">
        <f aca="false">E24-E26</f>
        <v>5072</v>
      </c>
      <c r="F27" s="29" t="n">
        <f aca="false">F24-F26</f>
        <v>18502</v>
      </c>
      <c r="G27" s="29" t="n">
        <f aca="false">G24-G26</f>
        <v>22711</v>
      </c>
      <c r="H27" s="29" t="n">
        <f aca="false">H24-H26</f>
        <v>213</v>
      </c>
      <c r="I27" s="29" t="n">
        <f aca="false">I24-I26</f>
        <v>19673</v>
      </c>
      <c r="J27" s="29" t="n">
        <f aca="false">J24-J26</f>
        <v>3185</v>
      </c>
      <c r="K27" s="29" t="n">
        <f aca="false">K24-K26</f>
        <v>9634</v>
      </c>
      <c r="L27" s="29" t="n">
        <f aca="false">L24-L26</f>
        <v>10723.4185815</v>
      </c>
      <c r="M27" s="29" t="n">
        <f aca="false">M24-M26</f>
        <v>11750.8983888913</v>
      </c>
      <c r="N27" s="29" t="n">
        <f aca="false">N24-N26</f>
        <v>12688.4506778772</v>
      </c>
      <c r="O27" s="29" t="n">
        <f aca="false">O24-O26</f>
        <v>13983.8605444406</v>
      </c>
      <c r="P27" s="29" t="n">
        <f aca="false">P24-P26</f>
        <v>15108.3715963441</v>
      </c>
    </row>
    <row r="29" customFormat="false" ht="18" hidden="false" customHeight="true" outlineLevel="0" collapsed="false">
      <c r="A29" s="6" t="s">
        <v>97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customFormat="false" ht="15" hidden="false" customHeight="false" outlineLevel="0" collapsed="false">
      <c r="A30" s="40" t="s">
        <v>98</v>
      </c>
      <c r="B30" s="30" t="n">
        <v>394.09</v>
      </c>
      <c r="C30" s="30" t="n">
        <v>382.86</v>
      </c>
      <c r="D30" s="30" t="n">
        <v>375.24</v>
      </c>
      <c r="E30" s="30" t="n">
        <v>375.24</v>
      </c>
      <c r="F30" s="30" t="n">
        <v>369.91</v>
      </c>
      <c r="G30" s="30" t="n">
        <v>365.91</v>
      </c>
      <c r="H30" s="30" t="n">
        <v>365.91</v>
      </c>
      <c r="I30" s="30" t="n">
        <v>361.81</v>
      </c>
      <c r="J30" s="30" t="n">
        <v>361.81</v>
      </c>
      <c r="K30" s="30" t="n">
        <v>361.81</v>
      </c>
      <c r="L30" s="41" t="n">
        <f aca="false">Assumptions!$C$37</f>
        <v>361.81</v>
      </c>
      <c r="M30" s="41" t="n">
        <f aca="false">Assumptions!$C$37</f>
        <v>361.81</v>
      </c>
      <c r="N30" s="41" t="n">
        <f aca="false">Assumptions!$C$37</f>
        <v>361.81</v>
      </c>
      <c r="O30" s="41" t="n">
        <f aca="false">Assumptions!$C$37</f>
        <v>361.81</v>
      </c>
      <c r="P30" s="41" t="n">
        <f aca="false">Assumptions!$C$37</f>
        <v>361.81</v>
      </c>
    </row>
    <row r="31" customFormat="false" ht="15" hidden="false" customHeight="false" outlineLevel="0" collapsed="false">
      <c r="A31" s="32" t="s">
        <v>99</v>
      </c>
      <c r="B31" s="42" t="n">
        <f aca="false">B24/B30</f>
        <v>66.8781242863305</v>
      </c>
      <c r="C31" s="42" t="n">
        <f aca="false">C24/C30</f>
        <v>67.5965104738024</v>
      </c>
      <c r="D31" s="42" t="n">
        <f aca="false">D24/D30</f>
        <v>84.1115019720712</v>
      </c>
      <c r="E31" s="42" t="n">
        <f aca="false">E24/E30</f>
        <v>86.4699925381089</v>
      </c>
      <c r="F31" s="42" t="n">
        <f aca="false">F24/F30</f>
        <v>88.0268173339461</v>
      </c>
      <c r="G31" s="42" t="n">
        <f aca="false">G24/G30</f>
        <v>105.077751359624</v>
      </c>
      <c r="H31" s="42" t="n">
        <f aca="false">H24/H30</f>
        <v>115.610395999016</v>
      </c>
      <c r="I31" s="42" t="n">
        <f aca="false">I24/I30</f>
        <v>127.412177662309</v>
      </c>
      <c r="J31" s="42" t="n">
        <f aca="false">J24/J30</f>
        <v>134.869130206462</v>
      </c>
      <c r="K31" s="42" t="n">
        <f aca="false">K24/K30</f>
        <v>136.685000414582</v>
      </c>
      <c r="L31" s="42" t="n">
        <f aca="false">L24/L30</f>
        <v>148.191296281197</v>
      </c>
      <c r="M31" s="42" t="n">
        <f aca="false">M24/M30</f>
        <v>162.390458927218</v>
      </c>
      <c r="N31" s="42" t="n">
        <f aca="false">N24/N30</f>
        <v>175.346876508073</v>
      </c>
      <c r="O31" s="42" t="n">
        <f aca="false">O24/O30</f>
        <v>193.248673950977</v>
      </c>
      <c r="P31" s="42" t="n">
        <f aca="false">P24/P30</f>
        <v>208.788750951385</v>
      </c>
    </row>
    <row r="32" customFormat="false" ht="15" hidden="false" customHeight="false" outlineLevel="0" collapsed="false">
      <c r="A32" s="40" t="s">
        <v>100</v>
      </c>
      <c r="B32" s="43" t="n">
        <f aca="false">B26/B30</f>
        <v>23.4946332056129</v>
      </c>
      <c r="C32" s="43" t="n">
        <f aca="false">C26/C30</f>
        <v>24.9438437026589</v>
      </c>
      <c r="D32" s="43" t="n">
        <f aca="false">D26/D30</f>
        <v>29.9808122801407</v>
      </c>
      <c r="E32" s="43" t="n">
        <f aca="false">E26/E30</f>
        <v>72.9533098816757</v>
      </c>
      <c r="F32" s="43" t="n">
        <f aca="false">F26/F30</f>
        <v>38.0092454921467</v>
      </c>
      <c r="G32" s="43" t="n">
        <f aca="false">G26/G30</f>
        <v>43.0105763712388</v>
      </c>
      <c r="H32" s="43" t="n">
        <f aca="false">H26/H30</f>
        <v>115.028285644011</v>
      </c>
      <c r="I32" s="43" t="n">
        <f aca="false">I26/I30</f>
        <v>73.038335037727</v>
      </c>
      <c r="J32" s="43" t="n">
        <f aca="false">J26/J30</f>
        <v>126.066167325392</v>
      </c>
      <c r="K32" s="43" t="n">
        <f aca="false">K26/K30</f>
        <v>110.057765125342</v>
      </c>
      <c r="L32" s="43" t="n">
        <f aca="false">L26/L30</f>
        <v>118.553037024958</v>
      </c>
      <c r="M32" s="43" t="n">
        <f aca="false">M26/M30</f>
        <v>129.912367141774</v>
      </c>
      <c r="N32" s="43" t="n">
        <f aca="false">N26/N30</f>
        <v>140.277501206458</v>
      </c>
      <c r="O32" s="43" t="n">
        <f aca="false">O26/O30</f>
        <v>154.598939160781</v>
      </c>
      <c r="P32" s="43" t="n">
        <f aca="false">P26/P30</f>
        <v>167.031000761108</v>
      </c>
    </row>
  </sheetData>
  <mergeCells count="2">
    <mergeCell ref="A4:P4"/>
    <mergeCell ref="A29:P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395"/>
    <pageSetUpPr fitToPage="false"/>
  </sheetPr>
  <dimension ref="A1:P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16" min="2" style="1" width="11"/>
  </cols>
  <sheetData>
    <row r="1" customFormat="false" ht="17.35" hidden="false" customHeight="false" outlineLevel="0" collapsed="false">
      <c r="A1" s="11" t="s">
        <v>101</v>
      </c>
    </row>
    <row r="2" customFormat="false" ht="15" hidden="false" customHeight="false" outlineLevel="0" collapsed="false">
      <c r="A2" s="31" t="s">
        <v>73</v>
      </c>
    </row>
    <row r="4" customFormat="false" ht="18" hidden="false" customHeight="true" outlineLevel="0" collapsed="false">
      <c r="A4" s="6" t="s">
        <v>102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customFormat="false" ht="15.75" hidden="false" customHeight="true" outlineLevel="0" collapsed="false">
      <c r="A5" s="13" t="s">
        <v>26</v>
      </c>
      <c r="B5" s="14" t="s">
        <v>27</v>
      </c>
      <c r="C5" s="14" t="s">
        <v>28</v>
      </c>
      <c r="D5" s="14" t="s">
        <v>29</v>
      </c>
      <c r="E5" s="14" t="s">
        <v>30</v>
      </c>
      <c r="F5" s="14" t="s">
        <v>31</v>
      </c>
      <c r="G5" s="14" t="s">
        <v>32</v>
      </c>
      <c r="H5" s="14" t="s">
        <v>33</v>
      </c>
      <c r="I5" s="14" t="s">
        <v>34</v>
      </c>
      <c r="J5" s="14" t="s">
        <v>35</v>
      </c>
      <c r="K5" s="14" t="s">
        <v>36</v>
      </c>
      <c r="L5" s="14" t="s">
        <v>37</v>
      </c>
      <c r="M5" s="14" t="s">
        <v>38</v>
      </c>
      <c r="N5" s="14" t="s">
        <v>39</v>
      </c>
      <c r="O5" s="14" t="s">
        <v>40</v>
      </c>
      <c r="P5" s="14" t="s">
        <v>41</v>
      </c>
    </row>
    <row r="6" customFormat="false" ht="15" hidden="false" customHeight="false" outlineLevel="0" collapsed="false">
      <c r="A6" s="40" t="s">
        <v>103</v>
      </c>
      <c r="B6" s="8" t="n">
        <v>11701</v>
      </c>
      <c r="C6" s="8" t="n">
        <v>11973</v>
      </c>
      <c r="D6" s="8" t="n">
        <v>12290</v>
      </c>
      <c r="E6" s="8" t="n">
        <v>20928</v>
      </c>
      <c r="F6" s="8" t="n">
        <v>21021</v>
      </c>
      <c r="G6" s="8" t="n">
        <v>21298</v>
      </c>
      <c r="H6" s="8" t="n">
        <v>20515</v>
      </c>
      <c r="I6" s="8" t="n">
        <v>19604</v>
      </c>
      <c r="J6" s="8" t="n">
        <v>23053</v>
      </c>
      <c r="K6" s="8" t="n">
        <v>31343</v>
      </c>
      <c r="L6" s="29" t="n">
        <f aca="false">K6+Assumptions!L9*IS!L6-IS!L18</f>
        <v>37914.38681</v>
      </c>
      <c r="M6" s="29" t="n">
        <f aca="false">L6+Assumptions!M9*IS!M6-IS!M18</f>
        <v>44978.62763075</v>
      </c>
      <c r="N6" s="29" t="n">
        <f aca="false">M6+Assumptions!N9*IS!N6-IS!N18</f>
        <v>50949.44682881</v>
      </c>
      <c r="O6" s="29" t="n">
        <f aca="false">N6+Assumptions!O9*IS!O6-IS!O18</f>
        <v>57397.9315627148</v>
      </c>
      <c r="P6" s="29" t="n">
        <f aca="false">O6+Assumptions!P9*IS!P6-IS!P18</f>
        <v>64362.295075332</v>
      </c>
    </row>
    <row r="7" customFormat="false" ht="15" hidden="false" customHeight="false" outlineLevel="0" collapsed="false">
      <c r="A7" s="40" t="s">
        <v>104</v>
      </c>
      <c r="B7" s="8" t="n">
        <v>1541</v>
      </c>
      <c r="C7" s="8" t="n">
        <v>1278</v>
      </c>
      <c r="D7" s="8" t="n">
        <v>963</v>
      </c>
      <c r="E7" s="8" t="n">
        <v>906</v>
      </c>
      <c r="F7" s="8" t="n">
        <v>926</v>
      </c>
      <c r="G7" s="8" t="n">
        <v>1205</v>
      </c>
      <c r="H7" s="8" t="n">
        <v>1234</v>
      </c>
      <c r="I7" s="8" t="n">
        <v>1564</v>
      </c>
      <c r="J7" s="8" t="n">
        <v>1546</v>
      </c>
      <c r="K7" s="8" t="n">
        <v>2665</v>
      </c>
      <c r="L7" s="29" t="n">
        <f aca="false">K7</f>
        <v>2665</v>
      </c>
      <c r="M7" s="29" t="n">
        <f aca="false">L7</f>
        <v>2665</v>
      </c>
      <c r="N7" s="29" t="n">
        <f aca="false">M7</f>
        <v>2665</v>
      </c>
      <c r="O7" s="29" t="n">
        <f aca="false">N7</f>
        <v>2665</v>
      </c>
      <c r="P7" s="29" t="n">
        <f aca="false">O7</f>
        <v>2665</v>
      </c>
    </row>
    <row r="8" customFormat="false" ht="15" hidden="false" customHeight="false" outlineLevel="0" collapsed="false">
      <c r="A8" s="40" t="s">
        <v>105</v>
      </c>
      <c r="B8" s="8" t="n">
        <v>41980</v>
      </c>
      <c r="C8" s="8" t="n">
        <v>36008</v>
      </c>
      <c r="D8" s="8" t="n">
        <v>29330</v>
      </c>
      <c r="E8" s="8" t="n">
        <v>26356</v>
      </c>
      <c r="F8" s="8" t="n">
        <v>29373</v>
      </c>
      <c r="G8" s="8" t="n">
        <v>30485</v>
      </c>
      <c r="H8" s="8" t="n">
        <v>37163</v>
      </c>
      <c r="I8" s="8" t="n">
        <v>31762</v>
      </c>
      <c r="J8" s="8" t="n">
        <v>30964</v>
      </c>
      <c r="K8" s="8" t="n">
        <v>33988</v>
      </c>
      <c r="L8" s="29" t="n">
        <f aca="false">K8*(1+Assumptions!L6)</f>
        <v>36367.16</v>
      </c>
      <c r="M8" s="29" t="n">
        <f aca="false">L8*(1+Assumptions!M6)</f>
        <v>39094.697</v>
      </c>
      <c r="N8" s="29" t="n">
        <f aca="false">M8*(1+Assumptions!N6)</f>
        <v>42222.27276</v>
      </c>
      <c r="O8" s="29" t="n">
        <f aca="false">N8*(1+Assumptions!O6)</f>
        <v>45600.0545808</v>
      </c>
      <c r="P8" s="29" t="n">
        <f aca="false">O8*(1+Assumptions!P6)</f>
        <v>49248.058947264</v>
      </c>
    </row>
    <row r="9" customFormat="false" ht="15" hidden="false" customHeight="false" outlineLevel="0" collapsed="false">
      <c r="A9" s="40" t="s">
        <v>106</v>
      </c>
      <c r="B9" s="8" t="n">
        <v>22617</v>
      </c>
      <c r="C9" s="8" t="n">
        <v>24943</v>
      </c>
      <c r="D9" s="8" t="n">
        <v>27346</v>
      </c>
      <c r="E9" s="8" t="n">
        <v>30532</v>
      </c>
      <c r="F9" s="8" t="n">
        <v>30079</v>
      </c>
      <c r="G9" s="8" t="n">
        <v>41810</v>
      </c>
      <c r="H9" s="8" t="n">
        <v>49954</v>
      </c>
      <c r="I9" s="8" t="n">
        <v>53577</v>
      </c>
      <c r="J9" s="8" t="n">
        <v>59046</v>
      </c>
      <c r="K9" s="8" t="n">
        <v>67714</v>
      </c>
      <c r="L9" s="29" t="n">
        <f aca="false">Assumptions!L11/365*IS!L6</f>
        <v>72015.1979178082</v>
      </c>
      <c r="M9" s="29" t="n">
        <f aca="false">Assumptions!M11/365*IS!M6</f>
        <v>76574.8558294521</v>
      </c>
      <c r="N9" s="29" t="n">
        <f aca="false">Assumptions!N11/365*IS!N6</f>
        <v>81792.0438090411</v>
      </c>
      <c r="O9" s="29" t="n">
        <f aca="false">Assumptions!O11/365*IS!O6</f>
        <v>88335.4073137644</v>
      </c>
      <c r="P9" s="29" t="n">
        <f aca="false">Assumptions!P11/365*IS!P6</f>
        <v>95402.2398988656</v>
      </c>
    </row>
    <row r="10" customFormat="false" ht="15" hidden="false" customHeight="false" outlineLevel="0" collapsed="false">
      <c r="A10" s="40" t="s">
        <v>107</v>
      </c>
      <c r="B10" s="8" t="n">
        <v>21</v>
      </c>
      <c r="C10" s="8" t="n">
        <v>26</v>
      </c>
      <c r="D10" s="8" t="n">
        <v>10</v>
      </c>
      <c r="E10" s="8" t="n">
        <v>5</v>
      </c>
      <c r="F10" s="8" t="n">
        <v>8</v>
      </c>
      <c r="G10" s="8" t="n">
        <v>20</v>
      </c>
      <c r="H10" s="8" t="n">
        <v>28</v>
      </c>
      <c r="I10" s="8" t="n">
        <v>28</v>
      </c>
      <c r="J10" s="8" t="n">
        <v>21</v>
      </c>
      <c r="K10" s="8" t="n">
        <v>29</v>
      </c>
      <c r="L10" s="29" t="n">
        <f aca="false">K10</f>
        <v>29</v>
      </c>
      <c r="M10" s="29" t="n">
        <f aca="false">L10</f>
        <v>29</v>
      </c>
      <c r="N10" s="29" t="n">
        <f aca="false">M10</f>
        <v>29</v>
      </c>
      <c r="O10" s="29" t="n">
        <f aca="false">N10</f>
        <v>29</v>
      </c>
      <c r="P10" s="29" t="n">
        <f aca="false">O10</f>
        <v>29</v>
      </c>
    </row>
    <row r="11" customFormat="false" ht="15" hidden="false" customHeight="false" outlineLevel="0" collapsed="false">
      <c r="A11" s="40" t="s">
        <v>108</v>
      </c>
      <c r="B11" s="8" t="n">
        <v>4149</v>
      </c>
      <c r="C11" s="8" t="n">
        <v>7161</v>
      </c>
      <c r="D11" s="8" t="n">
        <v>12848</v>
      </c>
      <c r="E11" s="8" t="n">
        <v>9666</v>
      </c>
      <c r="F11" s="8" t="n">
        <v>9329</v>
      </c>
      <c r="G11" s="8" t="n">
        <v>18221</v>
      </c>
      <c r="H11" s="8" t="n">
        <v>11032</v>
      </c>
      <c r="I11" s="8" t="n">
        <v>13286</v>
      </c>
      <c r="J11" s="8" t="n">
        <v>15463</v>
      </c>
      <c r="K11" s="8" t="n">
        <v>12908</v>
      </c>
      <c r="L11" s="25" t="n">
        <f aca="false">CF!L30</f>
        <v>12255.4704936918</v>
      </c>
      <c r="M11" s="25" t="n">
        <f aca="false">CF!M30</f>
        <v>12054.9178981893</v>
      </c>
      <c r="N11" s="25" t="n">
        <f aca="false">CF!N30</f>
        <v>13179.7681494574</v>
      </c>
      <c r="O11" s="25" t="n">
        <f aca="false">CF!O30</f>
        <v>13766.1397463931</v>
      </c>
      <c r="P11" s="25" t="n">
        <f aca="false">CF!P30</f>
        <v>14405.2232794319</v>
      </c>
    </row>
    <row r="12" customFormat="false" ht="15" hidden="false" customHeight="false" outlineLevel="0" collapsed="false">
      <c r="A12" s="40" t="s">
        <v>109</v>
      </c>
      <c r="B12" s="8" t="n">
        <v>20324</v>
      </c>
      <c r="C12" s="8" t="n">
        <v>23737</v>
      </c>
      <c r="D12" s="8" t="n">
        <v>31114</v>
      </c>
      <c r="E12" s="8" t="n">
        <v>31734</v>
      </c>
      <c r="F12" s="8" t="n">
        <v>39256</v>
      </c>
      <c r="G12" s="8" t="n">
        <v>27885</v>
      </c>
      <c r="H12" s="8" t="n">
        <v>22933</v>
      </c>
      <c r="I12" s="8" t="n">
        <v>25651</v>
      </c>
      <c r="J12" s="8" t="n">
        <v>28556</v>
      </c>
      <c r="K12" s="8" t="n">
        <v>32520</v>
      </c>
      <c r="L12" s="29" t="n">
        <f aca="false">Assumptions!L13*IS!L6</f>
        <v>34856.92134</v>
      </c>
      <c r="M12" s="29" t="n">
        <f aca="false">Assumptions!M13*IS!M6</f>
        <v>37471.1904405</v>
      </c>
      <c r="N12" s="29" t="n">
        <f aca="false">Assumptions!N13*IS!N6</f>
        <v>40468.88567574</v>
      </c>
      <c r="O12" s="29" t="n">
        <f aca="false">Assumptions!O13*IS!O6</f>
        <v>43706.3965297992</v>
      </c>
      <c r="P12" s="29" t="n">
        <f aca="false">Assumptions!P13*IS!P6</f>
        <v>47202.9082521831</v>
      </c>
    </row>
    <row r="13" customFormat="false" ht="15" hidden="false" customHeight="false" outlineLevel="0" collapsed="false">
      <c r="A13" s="32" t="s">
        <v>110</v>
      </c>
      <c r="B13" s="39" t="n">
        <f aca="false">SUM(B6:B12)</f>
        <v>102333</v>
      </c>
      <c r="C13" s="39" t="n">
        <f aca="false">SUM(C6:C12)</f>
        <v>105126</v>
      </c>
      <c r="D13" s="39" t="n">
        <f aca="false">SUM(D6:D12)</f>
        <v>113901</v>
      </c>
      <c r="E13" s="39" t="n">
        <f aca="false">SUM(E6:E12)</f>
        <v>120127</v>
      </c>
      <c r="F13" s="39" t="n">
        <f aca="false">SUM(F6:F12)</f>
        <v>129992</v>
      </c>
      <c r="G13" s="39" t="n">
        <f aca="false">SUM(G6:G12)</f>
        <v>140924</v>
      </c>
      <c r="H13" s="39" t="n">
        <f aca="false">SUM(H6:H12)</f>
        <v>142859</v>
      </c>
      <c r="I13" s="39" t="n">
        <f aca="false">SUM(I6:I12)</f>
        <v>145472</v>
      </c>
      <c r="J13" s="39" t="n">
        <f aca="false">SUM(J6:J12)</f>
        <v>158649</v>
      </c>
      <c r="K13" s="39" t="n">
        <f aca="false">SUM(K6:K12)</f>
        <v>181167</v>
      </c>
      <c r="L13" s="39" t="n">
        <f aca="false">SUM(L6:L12)</f>
        <v>196103.1365615</v>
      </c>
      <c r="M13" s="39" t="n">
        <f aca="false">SUM(M6:M12)</f>
        <v>212868.288798891</v>
      </c>
      <c r="N13" s="39" t="n">
        <f aca="false">SUM(N6:N12)</f>
        <v>231306.417223048</v>
      </c>
      <c r="O13" s="39" t="n">
        <f aca="false">SUM(O6:O12)</f>
        <v>251499.929733471</v>
      </c>
      <c r="P13" s="39" t="n">
        <f aca="false">SUM(P6:P12)</f>
        <v>273314.725453077</v>
      </c>
    </row>
    <row r="15" customFormat="false" ht="18" hidden="false" customHeight="true" outlineLevel="0" collapsed="false">
      <c r="A15" s="6" t="s">
        <v>111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customFormat="false" ht="15" hidden="false" customHeight="false" outlineLevel="0" collapsed="false">
      <c r="A16" s="40" t="s">
        <v>112</v>
      </c>
      <c r="B16" s="8" t="n">
        <v>197</v>
      </c>
      <c r="C16" s="8" t="n">
        <v>191</v>
      </c>
      <c r="D16" s="8" t="n">
        <v>375</v>
      </c>
      <c r="E16" s="8" t="n">
        <v>375</v>
      </c>
      <c r="F16" s="8" t="n">
        <v>370</v>
      </c>
      <c r="G16" s="8" t="n">
        <v>366</v>
      </c>
      <c r="H16" s="8" t="n">
        <v>366</v>
      </c>
      <c r="I16" s="8" t="n">
        <v>362</v>
      </c>
      <c r="J16" s="8" t="n">
        <v>362</v>
      </c>
      <c r="K16" s="8" t="n">
        <v>362</v>
      </c>
      <c r="L16" s="29" t="n">
        <f aca="false">K16</f>
        <v>362</v>
      </c>
      <c r="M16" s="29" t="n">
        <f aca="false">L16</f>
        <v>362</v>
      </c>
      <c r="N16" s="29" t="n">
        <f aca="false">M16</f>
        <v>362</v>
      </c>
      <c r="O16" s="29" t="n">
        <f aca="false">N16</f>
        <v>362</v>
      </c>
      <c r="P16" s="29" t="n">
        <f aca="false">O16</f>
        <v>362</v>
      </c>
    </row>
    <row r="17" customFormat="false" ht="15" hidden="false" customHeight="false" outlineLevel="0" collapsed="false">
      <c r="A17" s="40" t="s">
        <v>113</v>
      </c>
      <c r="B17" s="8" t="n">
        <v>86017</v>
      </c>
      <c r="C17" s="8" t="n">
        <v>84937</v>
      </c>
      <c r="D17" s="8" t="n">
        <v>89071</v>
      </c>
      <c r="E17" s="8" t="n">
        <v>83751</v>
      </c>
      <c r="F17" s="8" t="n">
        <v>86063</v>
      </c>
      <c r="G17" s="8" t="n">
        <v>88773</v>
      </c>
      <c r="H17" s="8" t="n">
        <v>90058</v>
      </c>
      <c r="I17" s="8" t="n">
        <v>90127</v>
      </c>
      <c r="J17" s="8" t="n">
        <v>94394</v>
      </c>
      <c r="K17" s="8" t="n">
        <v>106878</v>
      </c>
      <c r="L17" s="25" t="n">
        <f aca="false">K17+IS!L24-IS!L26</f>
        <v>117601.4185815</v>
      </c>
      <c r="M17" s="25" t="n">
        <f aca="false">L17+IS!M24-IS!M26</f>
        <v>129352.316970391</v>
      </c>
      <c r="N17" s="25" t="n">
        <f aca="false">M17+IS!N24-IS!N26</f>
        <v>142040.767648269</v>
      </c>
      <c r="O17" s="25" t="n">
        <f aca="false">N17+IS!O24-IS!O26</f>
        <v>156024.628192709</v>
      </c>
      <c r="P17" s="25" t="n">
        <f aca="false">O17+IS!P24-IS!P26</f>
        <v>171132.999789053</v>
      </c>
    </row>
    <row r="18" customFormat="false" ht="15" hidden="false" customHeight="false" outlineLevel="0" collapsed="false">
      <c r="A18" s="40" t="s">
        <v>114</v>
      </c>
      <c r="B18" s="8" t="n">
        <v>289</v>
      </c>
      <c r="C18" s="8" t="n">
        <v>247</v>
      </c>
      <c r="D18" s="8" t="n">
        <v>62</v>
      </c>
      <c r="E18" s="8" t="n">
        <v>8174</v>
      </c>
      <c r="F18" s="8" t="n">
        <v>7795</v>
      </c>
      <c r="G18" s="8" t="n">
        <v>7818</v>
      </c>
      <c r="H18" s="8" t="n">
        <v>7688</v>
      </c>
      <c r="I18" s="8" t="n">
        <v>8021</v>
      </c>
      <c r="J18" s="8" t="n">
        <v>9392</v>
      </c>
      <c r="K18" s="8" t="n">
        <v>11283</v>
      </c>
      <c r="L18" s="29" t="n">
        <f aca="false">K18</f>
        <v>11283</v>
      </c>
      <c r="M18" s="29" t="n">
        <f aca="false">L18</f>
        <v>11283</v>
      </c>
      <c r="N18" s="29" t="n">
        <f aca="false">M18</f>
        <v>11283</v>
      </c>
      <c r="O18" s="29" t="n">
        <f aca="false">N18</f>
        <v>11283</v>
      </c>
      <c r="P18" s="29" t="n">
        <f aca="false">O18</f>
        <v>11283</v>
      </c>
    </row>
    <row r="19" customFormat="false" ht="15" hidden="false" customHeight="false" outlineLevel="0" collapsed="false">
      <c r="A19" s="40" t="s">
        <v>115</v>
      </c>
      <c r="B19" s="8" t="n">
        <v>15830</v>
      </c>
      <c r="C19" s="8" t="n">
        <v>19751</v>
      </c>
      <c r="D19" s="8" t="n">
        <v>24393</v>
      </c>
      <c r="E19" s="8" t="n">
        <v>27827</v>
      </c>
      <c r="F19" s="8" t="n">
        <v>35764</v>
      </c>
      <c r="G19" s="8" t="n">
        <v>43967</v>
      </c>
      <c r="H19" s="8" t="n">
        <v>44747</v>
      </c>
      <c r="I19" s="8" t="n">
        <v>46962</v>
      </c>
      <c r="J19" s="8" t="n">
        <v>54501</v>
      </c>
      <c r="K19" s="8" t="n">
        <v>62644</v>
      </c>
      <c r="L19" s="29" t="n">
        <f aca="false">Assumptions!L12*IS!L6</f>
        <v>66856.71798</v>
      </c>
      <c r="M19" s="29" t="n">
        <f aca="false">Assumptions!M12*IS!M6</f>
        <v>71870.9718285</v>
      </c>
      <c r="N19" s="29" t="n">
        <f aca="false">Assumptions!N12*IS!N6</f>
        <v>77620.64957478</v>
      </c>
      <c r="O19" s="29" t="n">
        <f aca="false">Assumptions!O12*IS!O6</f>
        <v>83830.3015407624</v>
      </c>
      <c r="P19" s="29" t="n">
        <f aca="false">Assumptions!P12*IS!P6</f>
        <v>90536.7256640234</v>
      </c>
    </row>
    <row r="20" customFormat="false" ht="15" hidden="false" customHeight="false" outlineLevel="0" collapsed="false">
      <c r="A20" s="32" t="s">
        <v>116</v>
      </c>
      <c r="B20" s="39" t="n">
        <f aca="false">SUM(B16:B19)</f>
        <v>102333</v>
      </c>
      <c r="C20" s="39" t="n">
        <f aca="false">SUM(C16:C19)</f>
        <v>105126</v>
      </c>
      <c r="D20" s="39" t="n">
        <f aca="false">SUM(D16:D19)</f>
        <v>113901</v>
      </c>
      <c r="E20" s="39" t="n">
        <f aca="false">SUM(E16:E19)</f>
        <v>120127</v>
      </c>
      <c r="F20" s="39" t="n">
        <f aca="false">SUM(F16:F19)</f>
        <v>129992</v>
      </c>
      <c r="G20" s="39" t="n">
        <f aca="false">SUM(G16:G19)</f>
        <v>140924</v>
      </c>
      <c r="H20" s="39" t="n">
        <f aca="false">SUM(H16:H19)</f>
        <v>142859</v>
      </c>
      <c r="I20" s="39" t="n">
        <f aca="false">SUM(I16:I19)</f>
        <v>145472</v>
      </c>
      <c r="J20" s="39" t="n">
        <f aca="false">SUM(J16:J19)</f>
        <v>158649</v>
      </c>
      <c r="K20" s="39" t="n">
        <f aca="false">SUM(K16:K19)</f>
        <v>181167</v>
      </c>
      <c r="L20" s="39" t="n">
        <f aca="false">SUM(L16:L19)</f>
        <v>196103.1365615</v>
      </c>
      <c r="M20" s="39" t="n">
        <f aca="false">SUM(M16:M19)</f>
        <v>212868.288798891</v>
      </c>
      <c r="N20" s="39" t="n">
        <f aca="false">SUM(N16:N19)</f>
        <v>231306.417223049</v>
      </c>
      <c r="O20" s="39" t="n">
        <f aca="false">SUM(O16:O19)</f>
        <v>251499.929733471</v>
      </c>
      <c r="P20" s="39" t="n">
        <f aca="false">SUM(P16:P19)</f>
        <v>273314.725453077</v>
      </c>
    </row>
    <row r="22" customFormat="false" ht="15" hidden="false" customHeight="false" outlineLevel="0" collapsed="false">
      <c r="A22" s="44" t="s">
        <v>117</v>
      </c>
      <c r="B22" s="45" t="n">
        <f aca="false">B13-B20</f>
        <v>0</v>
      </c>
      <c r="C22" s="45" t="n">
        <f aca="false">C13-C20</f>
        <v>0</v>
      </c>
      <c r="D22" s="45" t="n">
        <f aca="false">D13-D20</f>
        <v>0</v>
      </c>
      <c r="E22" s="45" t="n">
        <f aca="false">E13-E20</f>
        <v>0</v>
      </c>
      <c r="F22" s="45" t="n">
        <f aca="false">F13-F20</f>
        <v>0</v>
      </c>
      <c r="G22" s="45" t="n">
        <f aca="false">G13-G20</f>
        <v>0</v>
      </c>
      <c r="H22" s="45" t="n">
        <f aca="false">H13-H20</f>
        <v>0</v>
      </c>
      <c r="I22" s="45" t="n">
        <f aca="false">I13-I20</f>
        <v>0</v>
      </c>
      <c r="J22" s="45" t="n">
        <f aca="false">J13-J20</f>
        <v>0</v>
      </c>
      <c r="K22" s="45" t="n">
        <f aca="false">K13-K20</f>
        <v>0</v>
      </c>
      <c r="L22" s="45" t="n">
        <f aca="false">L13-L20</f>
        <v>0</v>
      </c>
      <c r="M22" s="45" t="n">
        <f aca="false">M13-M20</f>
        <v>0</v>
      </c>
      <c r="N22" s="45" t="n">
        <f aca="false">N13-N20</f>
        <v>0</v>
      </c>
      <c r="O22" s="45" t="n">
        <f aca="false">O13-O20</f>
        <v>0</v>
      </c>
      <c r="P22" s="45" t="n">
        <f aca="false">P13-P20</f>
        <v>0</v>
      </c>
    </row>
    <row r="24" customFormat="false" ht="18" hidden="false" customHeight="true" outlineLevel="0" collapsed="false">
      <c r="A24" s="6" t="s">
        <v>118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customFormat="false" ht="15" hidden="false" customHeight="false" outlineLevel="0" collapsed="false">
      <c r="A25" s="40" t="s">
        <v>119</v>
      </c>
      <c r="B25" s="29" t="n">
        <f aca="false">B9+B10-B19</f>
        <v>6808</v>
      </c>
      <c r="C25" s="29" t="n">
        <f aca="false">C9+C10-C19</f>
        <v>5218</v>
      </c>
      <c r="D25" s="29" t="n">
        <f aca="false">D9+D10-D19</f>
        <v>2963</v>
      </c>
      <c r="E25" s="29" t="n">
        <f aca="false">E9+E10-E19</f>
        <v>2710</v>
      </c>
      <c r="F25" s="29" t="n">
        <f aca="false">F9+F10-F19</f>
        <v>-5677</v>
      </c>
      <c r="G25" s="29" t="n">
        <f aca="false">G9+G10-G19</f>
        <v>-2137</v>
      </c>
      <c r="H25" s="29" t="n">
        <f aca="false">H9+H10-H19</f>
        <v>5235</v>
      </c>
      <c r="I25" s="29" t="n">
        <f aca="false">I9+I10-I19</f>
        <v>6643</v>
      </c>
      <c r="J25" s="29" t="n">
        <f aca="false">J9+J10-J19</f>
        <v>4566</v>
      </c>
      <c r="K25" s="29" t="n">
        <f aca="false">K9+K10-K19</f>
        <v>5099</v>
      </c>
      <c r="L25" s="29" t="n">
        <f aca="false">L9+L10-L19</f>
        <v>5187.47993780821</v>
      </c>
      <c r="M25" s="29" t="n">
        <f aca="false">M9+M10-M19</f>
        <v>4732.88400095205</v>
      </c>
      <c r="N25" s="29" t="n">
        <f aca="false">N9+N10-N19</f>
        <v>4200.39423426108</v>
      </c>
      <c r="O25" s="29" t="n">
        <f aca="false">O9+O10-O19</f>
        <v>4534.10577300197</v>
      </c>
      <c r="P25" s="29" t="n">
        <f aca="false">P9+P10-P19</f>
        <v>4894.51423484214</v>
      </c>
    </row>
    <row r="26" customFormat="false" ht="15" hidden="false" customHeight="false" outlineLevel="0" collapsed="false">
      <c r="A26" s="40" t="s">
        <v>120</v>
      </c>
      <c r="B26" s="29" t="n">
        <f aca="false">B18-B11-B8</f>
        <v>-45840</v>
      </c>
      <c r="C26" s="29" t="n">
        <f aca="false">C18-C11-C8</f>
        <v>-42922</v>
      </c>
      <c r="D26" s="29" t="n">
        <f aca="false">D18-D11-D8</f>
        <v>-42116</v>
      </c>
      <c r="E26" s="29" t="n">
        <f aca="false">E18-E11-E8</f>
        <v>-27848</v>
      </c>
      <c r="F26" s="29" t="n">
        <f aca="false">F18-F11-F8</f>
        <v>-30907</v>
      </c>
      <c r="G26" s="29" t="n">
        <f aca="false">G18-G11-G8</f>
        <v>-40888</v>
      </c>
      <c r="H26" s="29" t="n">
        <f aca="false">H18-H11-H8</f>
        <v>-40507</v>
      </c>
      <c r="I26" s="29" t="n">
        <f aca="false">I18-I11-I8</f>
        <v>-37027</v>
      </c>
      <c r="J26" s="29" t="n">
        <f aca="false">J18-J11-J8</f>
        <v>-37035</v>
      </c>
      <c r="K26" s="29" t="n">
        <f aca="false">K18-K11-K8</f>
        <v>-35613</v>
      </c>
      <c r="L26" s="29" t="n">
        <f aca="false">L18-L11-L8</f>
        <v>-37339.6304936918</v>
      </c>
      <c r="M26" s="29" t="n">
        <f aca="false">M18-M11-M8</f>
        <v>-39866.6148981893</v>
      </c>
      <c r="N26" s="29" t="n">
        <f aca="false">N18-N11-N8</f>
        <v>-44119.0409094574</v>
      </c>
      <c r="O26" s="29" t="n">
        <f aca="false">O18-O11-O8</f>
        <v>-48083.1943271931</v>
      </c>
      <c r="P26" s="29" t="n">
        <f aca="false">P18-P11-P8</f>
        <v>-52370.2822266959</v>
      </c>
    </row>
    <row r="27" customFormat="false" ht="15" hidden="false" customHeight="false" outlineLevel="0" collapsed="false">
      <c r="A27" s="40" t="s">
        <v>121</v>
      </c>
      <c r="B27" s="46" t="n">
        <f aca="false">(B16+B17)/IS!B30</f>
        <v>218.767286660408</v>
      </c>
      <c r="C27" s="46" t="n">
        <f aca="false">(C16+C17)/IS!C30</f>
        <v>222.347594420937</v>
      </c>
      <c r="D27" s="46" t="n">
        <f aca="false">(D16+D17)/IS!D30</f>
        <v>238.370109796397</v>
      </c>
      <c r="E27" s="46" t="n">
        <f aca="false">(E16+E17)/IS!E30</f>
        <v>224.192516789255</v>
      </c>
      <c r="F27" s="46" t="n">
        <f aca="false">(F16+F17)/IS!F30</f>
        <v>233.659538806737</v>
      </c>
      <c r="G27" s="46" t="n">
        <f aca="false">(G16+G17)/IS!G30</f>
        <v>243.609084201033</v>
      </c>
      <c r="H27" s="46" t="n">
        <f aca="false">(H16+H17)/IS!H30</f>
        <v>247.120876718319</v>
      </c>
      <c r="I27" s="46" t="n">
        <f aca="false">(I16+I17)/IS!I30</f>
        <v>250.100881678229</v>
      </c>
      <c r="J27" s="46" t="n">
        <f aca="false">(J16+J17)/IS!J30</f>
        <v>261.894364445427</v>
      </c>
      <c r="K27" s="46" t="n">
        <f aca="false">(K16+K17)/IS!K30</f>
        <v>296.398662281308</v>
      </c>
      <c r="L27" s="46" t="n">
        <f aca="false">(L16+L17)/IS!L30</f>
        <v>326.036921537547</v>
      </c>
      <c r="M27" s="46" t="n">
        <f aca="false">(M16+M17)/IS!M30</f>
        <v>358.515013322991</v>
      </c>
      <c r="N27" s="46" t="n">
        <f aca="false">(N16+N17)/IS!N30</f>
        <v>393.584388624605</v>
      </c>
      <c r="O27" s="46" t="n">
        <f aca="false">(O16+O17)/IS!O30</f>
        <v>432.234123414801</v>
      </c>
      <c r="P27" s="46" t="n">
        <f aca="false">(P16+P17)/IS!P30</f>
        <v>473.991873605078</v>
      </c>
    </row>
  </sheetData>
  <mergeCells count="3">
    <mergeCell ref="A4:P4"/>
    <mergeCell ref="A15:P15"/>
    <mergeCell ref="A24:P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395"/>
    <pageSetUpPr fitToPage="false"/>
  </sheetPr>
  <dimension ref="A1:P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16" min="2" style="1" width="11"/>
  </cols>
  <sheetData>
    <row r="1" customFormat="false" ht="17.35" hidden="false" customHeight="false" outlineLevel="0" collapsed="false">
      <c r="A1" s="11" t="s">
        <v>122</v>
      </c>
    </row>
    <row r="2" customFormat="false" ht="15" hidden="false" customHeight="false" outlineLevel="0" collapsed="false">
      <c r="A2" s="31" t="s">
        <v>73</v>
      </c>
    </row>
    <row r="4" customFormat="false" ht="18" hidden="false" customHeight="true" outlineLevel="0" collapsed="false">
      <c r="A4" s="6" t="s">
        <v>123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customFormat="false" ht="15.75" hidden="false" customHeight="true" outlineLevel="0" collapsed="false">
      <c r="A5" s="13" t="s">
        <v>26</v>
      </c>
      <c r="B5" s="14" t="s">
        <v>27</v>
      </c>
      <c r="C5" s="14" t="s">
        <v>28</v>
      </c>
      <c r="D5" s="14" t="s">
        <v>29</v>
      </c>
      <c r="E5" s="14" t="s">
        <v>30</v>
      </c>
      <c r="F5" s="14" t="s">
        <v>31</v>
      </c>
      <c r="G5" s="14" t="s">
        <v>32</v>
      </c>
      <c r="H5" s="14" t="s">
        <v>33</v>
      </c>
      <c r="I5" s="14" t="s">
        <v>34</v>
      </c>
      <c r="J5" s="14" t="s">
        <v>35</v>
      </c>
      <c r="K5" s="14" t="s">
        <v>36</v>
      </c>
      <c r="L5" s="14" t="s">
        <v>37</v>
      </c>
      <c r="M5" s="14" t="s">
        <v>38</v>
      </c>
      <c r="N5" s="14" t="s">
        <v>39</v>
      </c>
      <c r="O5" s="14" t="s">
        <v>40</v>
      </c>
      <c r="P5" s="14" t="s">
        <v>41</v>
      </c>
    </row>
    <row r="6" customFormat="false" ht="15" hidden="false" customHeight="false" outlineLevel="0" collapsed="false">
      <c r="A6" s="40" t="s">
        <v>124</v>
      </c>
      <c r="B6" s="8" t="n">
        <v>25223</v>
      </c>
      <c r="C6" s="8" t="n">
        <v>25067</v>
      </c>
      <c r="D6" s="8" t="n">
        <v>28593</v>
      </c>
      <c r="E6" s="8" t="n">
        <v>32369</v>
      </c>
      <c r="F6" s="8" t="n">
        <v>38802</v>
      </c>
      <c r="G6" s="8" t="n">
        <v>39949</v>
      </c>
      <c r="H6" s="8" t="n">
        <v>41965</v>
      </c>
      <c r="I6" s="8" t="n">
        <v>44338</v>
      </c>
      <c r="J6" s="8" t="n">
        <v>48908</v>
      </c>
      <c r="K6" s="8" t="n">
        <v>52094</v>
      </c>
      <c r="L6" s="47" t="s">
        <v>125</v>
      </c>
      <c r="M6" s="47" t="s">
        <v>125</v>
      </c>
      <c r="N6" s="47" t="s">
        <v>125</v>
      </c>
      <c r="O6" s="47" t="s">
        <v>125</v>
      </c>
      <c r="P6" s="47" t="s">
        <v>125</v>
      </c>
    </row>
    <row r="7" customFormat="false" ht="15" hidden="false" customHeight="false" outlineLevel="0" collapsed="false">
      <c r="A7" s="40" t="s">
        <v>126</v>
      </c>
      <c r="B7" s="8" t="n">
        <v>-16895</v>
      </c>
      <c r="C7" s="8" t="n">
        <v>3104</v>
      </c>
      <c r="D7" s="8" t="n">
        <v>1645</v>
      </c>
      <c r="E7" s="8" t="n">
        <v>8968</v>
      </c>
      <c r="F7" s="8" t="n">
        <v>-7956</v>
      </c>
      <c r="G7" s="8" t="n">
        <v>-738</v>
      </c>
      <c r="H7" s="8" t="n">
        <v>548</v>
      </c>
      <c r="I7" s="8" t="n">
        <v>6091</v>
      </c>
      <c r="J7" s="8" t="n">
        <v>-2144</v>
      </c>
      <c r="K7" s="8" t="n">
        <v>-11886</v>
      </c>
      <c r="L7" s="47" t="s">
        <v>125</v>
      </c>
      <c r="M7" s="47" t="s">
        <v>125</v>
      </c>
      <c r="N7" s="47" t="s">
        <v>125</v>
      </c>
      <c r="O7" s="47" t="s">
        <v>125</v>
      </c>
      <c r="P7" s="47" t="s">
        <v>125</v>
      </c>
    </row>
    <row r="8" customFormat="false" ht="15" hidden="false" customHeight="false" outlineLevel="0" collapsed="false">
      <c r="A8" s="40" t="s">
        <v>127</v>
      </c>
      <c r="B8" s="8" t="n">
        <v>-11026</v>
      </c>
      <c r="C8" s="8" t="n">
        <v>-26885</v>
      </c>
      <c r="D8" s="8" t="n">
        <v>-27897</v>
      </c>
      <c r="E8" s="8" t="n">
        <v>-39915</v>
      </c>
      <c r="F8" s="8" t="n">
        <v>-32634</v>
      </c>
      <c r="G8" s="8" t="n">
        <v>-33581</v>
      </c>
      <c r="H8" s="8" t="n">
        <v>-47878</v>
      </c>
      <c r="I8" s="8" t="n">
        <v>-48536</v>
      </c>
      <c r="J8" s="8" t="n">
        <v>-47438</v>
      </c>
      <c r="K8" s="8" t="n">
        <v>-42133</v>
      </c>
      <c r="L8" s="47" t="s">
        <v>125</v>
      </c>
      <c r="M8" s="47" t="s">
        <v>125</v>
      </c>
      <c r="N8" s="47" t="s">
        <v>125</v>
      </c>
      <c r="O8" s="47" t="s">
        <v>125</v>
      </c>
      <c r="P8" s="47" t="s">
        <v>125</v>
      </c>
    </row>
    <row r="9" customFormat="false" ht="15" hidden="false" customHeight="false" outlineLevel="0" collapsed="false">
      <c r="A9" s="32" t="s">
        <v>128</v>
      </c>
      <c r="B9" s="33" t="n">
        <f aca="false">SUM(B6:B8)</f>
        <v>-2698</v>
      </c>
      <c r="C9" s="33" t="n">
        <f aca="false">SUM(C6:C8)</f>
        <v>1286</v>
      </c>
      <c r="D9" s="33" t="n">
        <f aca="false">SUM(D6:D8)</f>
        <v>2341</v>
      </c>
      <c r="E9" s="33" t="n">
        <f aca="false">SUM(E6:E8)</f>
        <v>1422</v>
      </c>
      <c r="F9" s="33" t="n">
        <f aca="false">SUM(F6:F8)</f>
        <v>-1788</v>
      </c>
      <c r="G9" s="33" t="n">
        <f aca="false">SUM(G6:G8)</f>
        <v>5630</v>
      </c>
      <c r="H9" s="33" t="n">
        <f aca="false">SUM(H6:H8)</f>
        <v>-5365</v>
      </c>
      <c r="I9" s="33" t="n">
        <f aca="false">SUM(I6:I8)</f>
        <v>1893</v>
      </c>
      <c r="J9" s="33" t="n">
        <f aca="false">SUM(J6:J8)</f>
        <v>-674</v>
      </c>
      <c r="K9" s="33" t="n">
        <f aca="false">SUM(K6:K8)</f>
        <v>-1925</v>
      </c>
      <c r="L9" s="47" t="s">
        <v>125</v>
      </c>
      <c r="M9" s="47" t="s">
        <v>125</v>
      </c>
      <c r="N9" s="47" t="s">
        <v>125</v>
      </c>
      <c r="O9" s="47" t="s">
        <v>125</v>
      </c>
      <c r="P9" s="47" t="s">
        <v>125</v>
      </c>
    </row>
    <row r="10" customFormat="false" ht="15" hidden="false" customHeight="false" outlineLevel="0" collapsed="false">
      <c r="A10" s="40" t="s">
        <v>129</v>
      </c>
      <c r="B10" s="47" t="s">
        <v>130</v>
      </c>
      <c r="C10" s="25" t="n">
        <f aca="false">BS!B11</f>
        <v>4149</v>
      </c>
      <c r="D10" s="25" t="n">
        <f aca="false">BS!C11</f>
        <v>7161</v>
      </c>
      <c r="E10" s="25" t="n">
        <f aca="false">BS!D11</f>
        <v>12848</v>
      </c>
      <c r="F10" s="25" t="n">
        <f aca="false">BS!E11</f>
        <v>9666</v>
      </c>
      <c r="G10" s="25" t="n">
        <f aca="false">BS!F11</f>
        <v>9329</v>
      </c>
      <c r="H10" s="25" t="n">
        <f aca="false">BS!G11</f>
        <v>18221</v>
      </c>
      <c r="I10" s="25" t="n">
        <f aca="false">BS!H11</f>
        <v>11032</v>
      </c>
      <c r="J10" s="25" t="n">
        <f aca="false">BS!I11</f>
        <v>13286</v>
      </c>
      <c r="K10" s="25" t="n">
        <f aca="false">BS!J11</f>
        <v>15463</v>
      </c>
      <c r="L10" s="47" t="s">
        <v>125</v>
      </c>
      <c r="M10" s="47" t="s">
        <v>125</v>
      </c>
      <c r="N10" s="47" t="s">
        <v>125</v>
      </c>
      <c r="O10" s="47" t="s">
        <v>125</v>
      </c>
      <c r="P10" s="47" t="s">
        <v>125</v>
      </c>
    </row>
    <row r="11" customFormat="false" ht="15" hidden="false" customHeight="false" outlineLevel="0" collapsed="false">
      <c r="A11" s="44" t="s">
        <v>131</v>
      </c>
      <c r="B11" s="47" t="s">
        <v>130</v>
      </c>
      <c r="C11" s="45" t="n">
        <f aca="false">C10+C9-BS!C11</f>
        <v>-1726</v>
      </c>
      <c r="D11" s="45" t="n">
        <f aca="false">D10+D9-BS!D11</f>
        <v>-3346</v>
      </c>
      <c r="E11" s="45" t="n">
        <f aca="false">E10+E9-BS!E11</f>
        <v>4604</v>
      </c>
      <c r="F11" s="45" t="n">
        <f aca="false">F10+F9-BS!F11</f>
        <v>-1451</v>
      </c>
      <c r="G11" s="45" t="n">
        <f aca="false">G10+G9-BS!G11</f>
        <v>-3262</v>
      </c>
      <c r="H11" s="45" t="n">
        <f aca="false">H10+H9-BS!H11</f>
        <v>1824</v>
      </c>
      <c r="I11" s="45" t="n">
        <f aca="false">I10+I9-BS!I11</f>
        <v>-361</v>
      </c>
      <c r="J11" s="45" t="n">
        <f aca="false">J10+J9-BS!J11</f>
        <v>-2851</v>
      </c>
      <c r="K11" s="45" t="n">
        <f aca="false">K10+K9-BS!K11</f>
        <v>630</v>
      </c>
      <c r="L11" s="47" t="s">
        <v>125</v>
      </c>
      <c r="M11" s="47" t="s">
        <v>125</v>
      </c>
      <c r="N11" s="47" t="s">
        <v>125</v>
      </c>
      <c r="O11" s="47" t="s">
        <v>125</v>
      </c>
      <c r="P11" s="47" t="s">
        <v>125</v>
      </c>
    </row>
    <row r="13" customFormat="false" ht="18" hidden="false" customHeight="true" outlineLevel="0" collapsed="false">
      <c r="A13" s="6" t="s">
        <v>132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customFormat="false" ht="15.75" hidden="false" customHeight="true" outlineLevel="0" collapsed="false">
      <c r="A14" s="13" t="s">
        <v>26</v>
      </c>
      <c r="B14" s="14" t="s">
        <v>27</v>
      </c>
      <c r="C14" s="14" t="s">
        <v>28</v>
      </c>
      <c r="D14" s="14" t="s">
        <v>29</v>
      </c>
      <c r="E14" s="14" t="s">
        <v>30</v>
      </c>
      <c r="F14" s="14" t="s">
        <v>31</v>
      </c>
      <c r="G14" s="14" t="s">
        <v>32</v>
      </c>
      <c r="H14" s="14" t="s">
        <v>33</v>
      </c>
      <c r="I14" s="14" t="s">
        <v>34</v>
      </c>
      <c r="J14" s="14" t="s">
        <v>35</v>
      </c>
      <c r="K14" s="14" t="s">
        <v>36</v>
      </c>
      <c r="L14" s="14" t="s">
        <v>37</v>
      </c>
      <c r="M14" s="14" t="s">
        <v>38</v>
      </c>
      <c r="N14" s="14" t="s">
        <v>39</v>
      </c>
      <c r="O14" s="14" t="s">
        <v>40</v>
      </c>
      <c r="P14" s="14" t="s">
        <v>41</v>
      </c>
    </row>
    <row r="15" customFormat="false" ht="15" hidden="false" customHeight="false" outlineLevel="0" collapsed="false">
      <c r="A15" s="40" t="s">
        <v>133</v>
      </c>
      <c r="B15" s="25" t="n">
        <f aca="false">IS!B24</f>
        <v>26356</v>
      </c>
      <c r="C15" s="25" t="n">
        <f aca="false">IS!C24</f>
        <v>25880</v>
      </c>
      <c r="D15" s="25" t="n">
        <f aca="false">IS!D24</f>
        <v>31562</v>
      </c>
      <c r="E15" s="25" t="n">
        <f aca="false">IS!E24</f>
        <v>32447</v>
      </c>
      <c r="F15" s="25" t="n">
        <f aca="false">IS!F24</f>
        <v>32562</v>
      </c>
      <c r="G15" s="25" t="n">
        <f aca="false">IS!G24</f>
        <v>38449</v>
      </c>
      <c r="H15" s="25" t="n">
        <f aca="false">IS!H24</f>
        <v>42303</v>
      </c>
      <c r="I15" s="25" t="n">
        <f aca="false">IS!I24</f>
        <v>46099</v>
      </c>
      <c r="J15" s="25" t="n">
        <f aca="false">IS!J24</f>
        <v>48797</v>
      </c>
      <c r="K15" s="25" t="n">
        <f aca="false">IS!K24</f>
        <v>49454</v>
      </c>
      <c r="L15" s="25" t="n">
        <f aca="false">IS!L24</f>
        <v>53617.0929075</v>
      </c>
      <c r="M15" s="25" t="n">
        <f aca="false">IS!M24</f>
        <v>58754.4919444567</v>
      </c>
      <c r="N15" s="25" t="n">
        <f aca="false">IS!N24</f>
        <v>63442.2533893858</v>
      </c>
      <c r="O15" s="25" t="n">
        <f aca="false">IS!O24</f>
        <v>69919.3027222029</v>
      </c>
      <c r="P15" s="25" t="n">
        <f aca="false">IS!P24</f>
        <v>75541.8579817206</v>
      </c>
    </row>
    <row r="16" customFormat="false" ht="15" hidden="false" customHeight="false" outlineLevel="0" collapsed="false">
      <c r="A16" s="40" t="s">
        <v>134</v>
      </c>
      <c r="B16" s="25" t="n">
        <f aca="false">IS!B18</f>
        <v>1987</v>
      </c>
      <c r="C16" s="25" t="n">
        <f aca="false">IS!C18</f>
        <v>2014</v>
      </c>
      <c r="D16" s="25" t="n">
        <f aca="false">IS!D18</f>
        <v>2056</v>
      </c>
      <c r="E16" s="25" t="n">
        <f aca="false">IS!E18</f>
        <v>3529</v>
      </c>
      <c r="F16" s="25" t="n">
        <f aca="false">IS!F18</f>
        <v>4065</v>
      </c>
      <c r="G16" s="25" t="n">
        <f aca="false">IS!G18</f>
        <v>4604</v>
      </c>
      <c r="H16" s="25" t="n">
        <f aca="false">IS!H18</f>
        <v>5022</v>
      </c>
      <c r="I16" s="25" t="n">
        <f aca="false">IS!I18</f>
        <v>4985</v>
      </c>
      <c r="J16" s="25" t="n">
        <f aca="false">IS!J18</f>
        <v>5242</v>
      </c>
      <c r="K16" s="25" t="n">
        <f aca="false">IS!K18</f>
        <v>5560</v>
      </c>
      <c r="L16" s="25" t="n">
        <f aca="false">IS!L18</f>
        <v>6285.67434</v>
      </c>
      <c r="M16" s="25" t="n">
        <f aca="false">IS!M18</f>
        <v>6757.0999155</v>
      </c>
      <c r="N16" s="25" t="n">
        <f aca="false">IS!N18</f>
        <v>7297.66790874</v>
      </c>
      <c r="O16" s="25" t="n">
        <f aca="false">IS!O18</f>
        <v>7881.4813414392</v>
      </c>
      <c r="P16" s="25" t="n">
        <f aca="false">IS!P18</f>
        <v>8511.99984875434</v>
      </c>
    </row>
    <row r="17" customFormat="false" ht="15" hidden="false" customHeight="false" outlineLevel="0" collapsed="false">
      <c r="A17" s="40" t="s">
        <v>135</v>
      </c>
      <c r="B17" s="47" t="s">
        <v>130</v>
      </c>
      <c r="C17" s="25" t="n">
        <f aca="false">-(BS!C9-BS!B9)</f>
        <v>-2326</v>
      </c>
      <c r="D17" s="25" t="n">
        <f aca="false">-(BS!D9-BS!C9)</f>
        <v>-2403</v>
      </c>
      <c r="E17" s="25" t="n">
        <f aca="false">-(BS!E9-BS!D9)</f>
        <v>-3186</v>
      </c>
      <c r="F17" s="25" t="n">
        <f aca="false">-(BS!F9-BS!E9)</f>
        <v>453</v>
      </c>
      <c r="G17" s="25" t="n">
        <f aca="false">-(BS!G9-BS!F9)</f>
        <v>-11731</v>
      </c>
      <c r="H17" s="25" t="n">
        <f aca="false">-(BS!H9-BS!G9)</f>
        <v>-8144</v>
      </c>
      <c r="I17" s="25" t="n">
        <f aca="false">-(BS!I9-BS!H9)</f>
        <v>-3623</v>
      </c>
      <c r="J17" s="25" t="n">
        <f aca="false">-(BS!J9-BS!I9)</f>
        <v>-5469</v>
      </c>
      <c r="K17" s="25" t="n">
        <f aca="false">-(BS!K9-BS!J9)</f>
        <v>-8668</v>
      </c>
      <c r="L17" s="25" t="n">
        <f aca="false">-(BS!L9-BS!K9)</f>
        <v>-4301.19791780823</v>
      </c>
      <c r="M17" s="25" t="n">
        <f aca="false">-(BS!M9-BS!L9)</f>
        <v>-4559.65791164384</v>
      </c>
      <c r="N17" s="25" t="n">
        <f aca="false">-(BS!N9-BS!M9)</f>
        <v>-5217.18797958903</v>
      </c>
      <c r="O17" s="25" t="n">
        <f aca="false">-(BS!O9-BS!N9)</f>
        <v>-6543.3635047233</v>
      </c>
      <c r="P17" s="25" t="n">
        <f aca="false">-(BS!P9-BS!O9)</f>
        <v>-7066.83258510116</v>
      </c>
    </row>
    <row r="18" customFormat="false" ht="15" hidden="false" customHeight="false" outlineLevel="0" collapsed="false">
      <c r="A18" s="40" t="s">
        <v>136</v>
      </c>
      <c r="B18" s="47" t="s">
        <v>130</v>
      </c>
      <c r="C18" s="25" t="n">
        <f aca="false">-(BS!C10-BS!B10)</f>
        <v>-5</v>
      </c>
      <c r="D18" s="25" t="n">
        <f aca="false">-(BS!D10-BS!C10)</f>
        <v>16</v>
      </c>
      <c r="E18" s="25" t="n">
        <f aca="false">-(BS!E10-BS!D10)</f>
        <v>5</v>
      </c>
      <c r="F18" s="25" t="n">
        <f aca="false">-(BS!F10-BS!E10)</f>
        <v>-3</v>
      </c>
      <c r="G18" s="25" t="n">
        <f aca="false">-(BS!G10-BS!F10)</f>
        <v>-12</v>
      </c>
      <c r="H18" s="25" t="n">
        <f aca="false">-(BS!H10-BS!G10)</f>
        <v>-8</v>
      </c>
      <c r="I18" s="25" t="n">
        <f aca="false">-(BS!I10-BS!H10)</f>
        <v>-0</v>
      </c>
      <c r="J18" s="25" t="n">
        <f aca="false">-(BS!J10-BS!I10)</f>
        <v>7</v>
      </c>
      <c r="K18" s="25" t="n">
        <f aca="false">-(BS!K10-BS!J10)</f>
        <v>-8</v>
      </c>
      <c r="L18" s="25" t="n">
        <f aca="false">-(BS!L10-BS!K10)</f>
        <v>-0</v>
      </c>
      <c r="M18" s="25" t="n">
        <f aca="false">-(BS!M10-BS!L10)</f>
        <v>-0</v>
      </c>
      <c r="N18" s="25" t="n">
        <f aca="false">-(BS!N10-BS!M10)</f>
        <v>-0</v>
      </c>
      <c r="O18" s="25" t="n">
        <f aca="false">-(BS!O10-BS!N10)</f>
        <v>-0</v>
      </c>
      <c r="P18" s="25" t="n">
        <f aca="false">-(BS!P10-BS!O10)</f>
        <v>-0</v>
      </c>
    </row>
    <row r="19" customFormat="false" ht="15" hidden="false" customHeight="false" outlineLevel="0" collapsed="false">
      <c r="A19" s="40" t="s">
        <v>137</v>
      </c>
      <c r="B19" s="47" t="s">
        <v>130</v>
      </c>
      <c r="C19" s="25" t="n">
        <f aca="false">-(BS!C12-BS!B12)</f>
        <v>-3413</v>
      </c>
      <c r="D19" s="25" t="n">
        <f aca="false">-(BS!D12-BS!C12)</f>
        <v>-7377</v>
      </c>
      <c r="E19" s="25" t="n">
        <f aca="false">-(BS!E12-BS!D12)</f>
        <v>-620</v>
      </c>
      <c r="F19" s="25" t="n">
        <f aca="false">-(BS!F12-BS!E12)</f>
        <v>-7522</v>
      </c>
      <c r="G19" s="25" t="n">
        <f aca="false">-(BS!G12-BS!F12)</f>
        <v>11371</v>
      </c>
      <c r="H19" s="25" t="n">
        <f aca="false">-(BS!H12-BS!G12)</f>
        <v>4952</v>
      </c>
      <c r="I19" s="25" t="n">
        <f aca="false">-(BS!I12-BS!H12)</f>
        <v>-2718</v>
      </c>
      <c r="J19" s="25" t="n">
        <f aca="false">-(BS!J12-BS!I12)</f>
        <v>-2905</v>
      </c>
      <c r="K19" s="25" t="n">
        <f aca="false">-(BS!K12-BS!J12)</f>
        <v>-3964</v>
      </c>
      <c r="L19" s="25" t="n">
        <f aca="false">-(BS!L12-BS!K12)</f>
        <v>-2336.92134</v>
      </c>
      <c r="M19" s="25" t="n">
        <f aca="false">-(BS!M12-BS!L12)</f>
        <v>-2614.2691005</v>
      </c>
      <c r="N19" s="25" t="n">
        <f aca="false">-(BS!N12-BS!M12)</f>
        <v>-2997.69523524</v>
      </c>
      <c r="O19" s="25" t="n">
        <f aca="false">-(BS!O12-BS!N12)</f>
        <v>-3237.5108540592</v>
      </c>
      <c r="P19" s="25" t="n">
        <f aca="false">-(BS!P12-BS!O12)</f>
        <v>-3496.51172238394</v>
      </c>
    </row>
    <row r="20" customFormat="false" ht="15" hidden="false" customHeight="false" outlineLevel="0" collapsed="false">
      <c r="A20" s="40" t="s">
        <v>138</v>
      </c>
      <c r="B20" s="47" t="s">
        <v>130</v>
      </c>
      <c r="C20" s="25" t="n">
        <f aca="false">(BS!C19-BS!B19)</f>
        <v>3921</v>
      </c>
      <c r="D20" s="25" t="n">
        <f aca="false">(BS!D19-BS!C19)</f>
        <v>4642</v>
      </c>
      <c r="E20" s="25" t="n">
        <f aca="false">(BS!E19-BS!D19)</f>
        <v>3434</v>
      </c>
      <c r="F20" s="25" t="n">
        <f aca="false">(BS!F19-BS!E19)</f>
        <v>7937</v>
      </c>
      <c r="G20" s="25" t="n">
        <f aca="false">(BS!G19-BS!F19)</f>
        <v>8203</v>
      </c>
      <c r="H20" s="25" t="n">
        <f aca="false">(BS!H19-BS!G19)</f>
        <v>780</v>
      </c>
      <c r="I20" s="25" t="n">
        <f aca="false">(BS!I19-BS!H19)</f>
        <v>2215</v>
      </c>
      <c r="J20" s="25" t="n">
        <f aca="false">(BS!J19-BS!I19)</f>
        <v>7539</v>
      </c>
      <c r="K20" s="25" t="n">
        <f aca="false">(BS!K19-BS!J19)</f>
        <v>8143</v>
      </c>
      <c r="L20" s="25" t="n">
        <f aca="false">(BS!L19-BS!K19)</f>
        <v>4212.71798000002</v>
      </c>
      <c r="M20" s="25" t="n">
        <f aca="false">(BS!M19-BS!L19)</f>
        <v>5014.2538485</v>
      </c>
      <c r="N20" s="25" t="n">
        <f aca="false">(BS!N19-BS!M19)</f>
        <v>5749.67774628</v>
      </c>
      <c r="O20" s="25" t="n">
        <f aca="false">(BS!O19-BS!N19)</f>
        <v>6209.65196598241</v>
      </c>
      <c r="P20" s="25" t="n">
        <f aca="false">(BS!P19-BS!O19)</f>
        <v>6706.42412326099</v>
      </c>
    </row>
    <row r="21" customFormat="false" ht="15" hidden="false" customHeight="false" outlineLevel="0" collapsed="false">
      <c r="A21" s="32" t="s">
        <v>139</v>
      </c>
      <c r="B21" s="48" t="s">
        <v>130</v>
      </c>
      <c r="C21" s="38" t="n">
        <f aca="false">SUM(C15:C20)</f>
        <v>26071</v>
      </c>
      <c r="D21" s="38" t="n">
        <f aca="false">SUM(D15:D20)</f>
        <v>28496</v>
      </c>
      <c r="E21" s="38" t="n">
        <f aca="false">SUM(E15:E20)</f>
        <v>35609</v>
      </c>
      <c r="F21" s="38" t="n">
        <f aca="false">SUM(F15:F20)</f>
        <v>37492</v>
      </c>
      <c r="G21" s="38" t="n">
        <f aca="false">SUM(G15:G20)</f>
        <v>50884</v>
      </c>
      <c r="H21" s="38" t="n">
        <f aca="false">SUM(H15:H20)</f>
        <v>44905</v>
      </c>
      <c r="I21" s="38" t="n">
        <f aca="false">SUM(I15:I20)</f>
        <v>46958</v>
      </c>
      <c r="J21" s="38" t="n">
        <f aca="false">SUM(J15:J20)</f>
        <v>53211</v>
      </c>
      <c r="K21" s="38" t="n">
        <f aca="false">SUM(K15:K20)</f>
        <v>50517</v>
      </c>
      <c r="L21" s="38" t="n">
        <f aca="false">SUM(L15:L20)</f>
        <v>57477.3659696918</v>
      </c>
      <c r="M21" s="38" t="n">
        <f aca="false">SUM(M15:M20)</f>
        <v>63351.9186963128</v>
      </c>
      <c r="N21" s="38" t="n">
        <f aca="false">SUM(N15:N20)</f>
        <v>68274.7158295768</v>
      </c>
      <c r="O21" s="38" t="n">
        <f aca="false">SUM(O15:O20)</f>
        <v>74229.561670842</v>
      </c>
      <c r="P21" s="38" t="n">
        <f aca="false">SUM(P15:P20)</f>
        <v>80196.9376462509</v>
      </c>
    </row>
    <row r="22" customFormat="false" ht="15" hidden="false" customHeight="false" outlineLevel="0" collapsed="false">
      <c r="A22" s="40" t="s">
        <v>140</v>
      </c>
      <c r="B22" s="47" t="s">
        <v>130</v>
      </c>
      <c r="C22" s="25" t="n">
        <f aca="false">-((BS!C6+BS!C7)-(BS!B6+BS!B7)+IS!C18)</f>
        <v>-2023</v>
      </c>
      <c r="D22" s="25" t="n">
        <f aca="false">-((BS!D6+BS!D7)-(BS!C6+BS!C7)+IS!D18)</f>
        <v>-2058</v>
      </c>
      <c r="E22" s="25" t="n">
        <f aca="false">-((BS!E6+BS!E7)-(BS!D6+BS!D7)+IS!E18)</f>
        <v>-12110</v>
      </c>
      <c r="F22" s="25" t="n">
        <f aca="false">-((BS!F6+BS!F7)-(BS!E6+BS!E7)+IS!F18)</f>
        <v>-4178</v>
      </c>
      <c r="G22" s="25" t="n">
        <f aca="false">-((BS!G6+BS!G7)-(BS!F6+BS!F7)+IS!G18)</f>
        <v>-5160</v>
      </c>
      <c r="H22" s="25" t="n">
        <f aca="false">-((BS!H6+BS!H7)-(BS!G6+BS!G7)+IS!H18)</f>
        <v>-4268</v>
      </c>
      <c r="I22" s="25" t="n">
        <f aca="false">-((BS!I6+BS!I7)-(BS!H6+BS!H7)+IS!I18)</f>
        <v>-4404</v>
      </c>
      <c r="J22" s="25" t="n">
        <f aca="false">-((BS!J6+BS!J7)-(BS!I6+BS!I7)+IS!J18)</f>
        <v>-8673</v>
      </c>
      <c r="K22" s="25" t="n">
        <f aca="false">-((BS!K6+BS!K7)-(BS!J6+BS!J7)+IS!K18)</f>
        <v>-14969</v>
      </c>
      <c r="L22" s="25" t="n">
        <f aca="false">-((BS!L6+BS!L7)-(BS!K6+BS!K7)+IS!L18)</f>
        <v>-12857.06115</v>
      </c>
      <c r="M22" s="25" t="n">
        <f aca="false">-((BS!M6+BS!M7)-(BS!L6+BS!L7)+IS!M18)</f>
        <v>-13821.34073625</v>
      </c>
      <c r="N22" s="25" t="n">
        <f aca="false">-((BS!N6+BS!N7)-(BS!M6+BS!M7)+IS!N18)</f>
        <v>-13268.4871068</v>
      </c>
      <c r="O22" s="25" t="n">
        <f aca="false">-((BS!O6+BS!O7)-(BS!N6+BS!N7)+IS!O18)</f>
        <v>-14329.966075344</v>
      </c>
      <c r="P22" s="25" t="n">
        <f aca="false">-((BS!P6+BS!P7)-(BS!O6+BS!O7)+IS!P18)</f>
        <v>-15476.3633613715</v>
      </c>
    </row>
    <row r="23" customFormat="false" ht="15" hidden="false" customHeight="false" outlineLevel="0" collapsed="false">
      <c r="A23" s="40" t="s">
        <v>141</v>
      </c>
      <c r="B23" s="47" t="s">
        <v>130</v>
      </c>
      <c r="C23" s="25" t="n">
        <f aca="false">-(BS!C8-BS!B8)</f>
        <v>5972</v>
      </c>
      <c r="D23" s="25" t="n">
        <f aca="false">-(BS!D8-BS!C8)</f>
        <v>6678</v>
      </c>
      <c r="E23" s="25" t="n">
        <f aca="false">-(BS!E8-BS!D8)</f>
        <v>2974</v>
      </c>
      <c r="F23" s="25" t="n">
        <f aca="false">-(BS!F8-BS!E8)</f>
        <v>-3017</v>
      </c>
      <c r="G23" s="25" t="n">
        <f aca="false">-(BS!G8-BS!F8)</f>
        <v>-1112</v>
      </c>
      <c r="H23" s="25" t="n">
        <f aca="false">-(BS!H8-BS!G8)</f>
        <v>-6678</v>
      </c>
      <c r="I23" s="25" t="n">
        <f aca="false">-(BS!I8-BS!H8)</f>
        <v>5401</v>
      </c>
      <c r="J23" s="25" t="n">
        <f aca="false">-(BS!J8-BS!I8)</f>
        <v>798</v>
      </c>
      <c r="K23" s="25" t="n">
        <f aca="false">-(BS!K8-BS!J8)</f>
        <v>-3024</v>
      </c>
      <c r="L23" s="25" t="n">
        <f aca="false">-(BS!L8-BS!K8)</f>
        <v>-2379.16</v>
      </c>
      <c r="M23" s="25" t="n">
        <f aca="false">-(BS!M8-BS!L8)</f>
        <v>-2727.537</v>
      </c>
      <c r="N23" s="25" t="n">
        <f aca="false">-(BS!N8-BS!M8)</f>
        <v>-3127.57576</v>
      </c>
      <c r="O23" s="25" t="n">
        <f aca="false">-(BS!O8-BS!N8)</f>
        <v>-3377.7818208</v>
      </c>
      <c r="P23" s="25" t="n">
        <f aca="false">-(BS!P8-BS!O8)</f>
        <v>-3648.004366464</v>
      </c>
    </row>
    <row r="24" customFormat="false" ht="15" hidden="false" customHeight="false" outlineLevel="0" collapsed="false">
      <c r="A24" s="32" t="s">
        <v>142</v>
      </c>
      <c r="B24" s="48" t="s">
        <v>130</v>
      </c>
      <c r="C24" s="38" t="n">
        <f aca="false">SUM(C22:C23)</f>
        <v>3949</v>
      </c>
      <c r="D24" s="38" t="n">
        <f aca="false">SUM(D22:D23)</f>
        <v>4620</v>
      </c>
      <c r="E24" s="38" t="n">
        <f aca="false">SUM(E22:E23)</f>
        <v>-9136</v>
      </c>
      <c r="F24" s="38" t="n">
        <f aca="false">SUM(F22:F23)</f>
        <v>-7195</v>
      </c>
      <c r="G24" s="38" t="n">
        <f aca="false">SUM(G22:G23)</f>
        <v>-6272</v>
      </c>
      <c r="H24" s="38" t="n">
        <f aca="false">SUM(H22:H23)</f>
        <v>-10946</v>
      </c>
      <c r="I24" s="38" t="n">
        <f aca="false">SUM(I22:I23)</f>
        <v>997</v>
      </c>
      <c r="J24" s="38" t="n">
        <f aca="false">SUM(J22:J23)</f>
        <v>-7875</v>
      </c>
      <c r="K24" s="38" t="n">
        <f aca="false">SUM(K22:K23)</f>
        <v>-17993</v>
      </c>
      <c r="L24" s="38" t="n">
        <f aca="false">SUM(L22:L23)</f>
        <v>-15236.22115</v>
      </c>
      <c r="M24" s="38" t="n">
        <f aca="false">SUM(M22:M23)</f>
        <v>-16548.87773625</v>
      </c>
      <c r="N24" s="38" t="n">
        <f aca="false">SUM(N22:N23)</f>
        <v>-16396.0628668</v>
      </c>
      <c r="O24" s="38" t="n">
        <f aca="false">SUM(O22:O23)</f>
        <v>-17707.747896144</v>
      </c>
      <c r="P24" s="38" t="n">
        <f aca="false">SUM(P22:P23)</f>
        <v>-19124.3677278355</v>
      </c>
    </row>
    <row r="25" customFormat="false" ht="15" hidden="false" customHeight="false" outlineLevel="0" collapsed="false">
      <c r="A25" s="40" t="s">
        <v>143</v>
      </c>
      <c r="B25" s="47" t="s">
        <v>130</v>
      </c>
      <c r="C25" s="25" t="n">
        <f aca="false">(BS!C18-BS!B18)</f>
        <v>-42</v>
      </c>
      <c r="D25" s="25" t="n">
        <f aca="false">(BS!D18-BS!C18)</f>
        <v>-185</v>
      </c>
      <c r="E25" s="25" t="n">
        <f aca="false">(BS!E18-BS!D18)</f>
        <v>8112</v>
      </c>
      <c r="F25" s="25" t="n">
        <f aca="false">(BS!F18-BS!E18)</f>
        <v>-379</v>
      </c>
      <c r="G25" s="25" t="n">
        <f aca="false">(BS!G18-BS!F18)</f>
        <v>23</v>
      </c>
      <c r="H25" s="25" t="n">
        <f aca="false">(BS!H18-BS!G18)</f>
        <v>-130</v>
      </c>
      <c r="I25" s="25" t="n">
        <f aca="false">(BS!I18-BS!H18)</f>
        <v>333</v>
      </c>
      <c r="J25" s="25" t="n">
        <f aca="false">(BS!J18-BS!I18)</f>
        <v>1371</v>
      </c>
      <c r="K25" s="25" t="n">
        <f aca="false">(BS!K18-BS!J18)</f>
        <v>1891</v>
      </c>
      <c r="L25" s="25" t="n">
        <f aca="false">(BS!L18-BS!K18)</f>
        <v>0</v>
      </c>
      <c r="M25" s="25" t="n">
        <f aca="false">(BS!M18-BS!L18)</f>
        <v>0</v>
      </c>
      <c r="N25" s="25" t="n">
        <f aca="false">(BS!N18-BS!M18)</f>
        <v>0</v>
      </c>
      <c r="O25" s="25" t="n">
        <f aca="false">(BS!O18-BS!N18)</f>
        <v>0</v>
      </c>
      <c r="P25" s="25" t="n">
        <f aca="false">(BS!P18-BS!O18)</f>
        <v>0</v>
      </c>
    </row>
    <row r="26" customFormat="false" ht="15" hidden="false" customHeight="false" outlineLevel="0" collapsed="false">
      <c r="A26" s="40" t="s">
        <v>144</v>
      </c>
      <c r="B26" s="25" t="n">
        <f aca="false">-IS!B26</f>
        <v>-9259</v>
      </c>
      <c r="C26" s="25" t="n">
        <f aca="false">-IS!C26</f>
        <v>-9550</v>
      </c>
      <c r="D26" s="25" t="n">
        <f aca="false">-IS!D26</f>
        <v>-11250</v>
      </c>
      <c r="E26" s="25" t="n">
        <f aca="false">-IS!E26</f>
        <v>-27375</v>
      </c>
      <c r="F26" s="25" t="n">
        <f aca="false">-IS!F26</f>
        <v>-14060</v>
      </c>
      <c r="G26" s="25" t="n">
        <f aca="false">-IS!G26</f>
        <v>-15738</v>
      </c>
      <c r="H26" s="25" t="n">
        <f aca="false">-IS!H26</f>
        <v>-42090</v>
      </c>
      <c r="I26" s="25" t="n">
        <f aca="false">-IS!I26</f>
        <v>-26426</v>
      </c>
      <c r="J26" s="25" t="n">
        <f aca="false">-IS!J26</f>
        <v>-45612</v>
      </c>
      <c r="K26" s="25" t="n">
        <f aca="false">-IS!K26</f>
        <v>-39820</v>
      </c>
      <c r="L26" s="25" t="n">
        <f aca="false">-IS!L26</f>
        <v>-42893.674326</v>
      </c>
      <c r="M26" s="25" t="n">
        <f aca="false">-IS!M26</f>
        <v>-47003.5935555653</v>
      </c>
      <c r="N26" s="25" t="n">
        <f aca="false">-IS!N26</f>
        <v>-50753.8027115087</v>
      </c>
      <c r="O26" s="25" t="n">
        <f aca="false">-IS!O26</f>
        <v>-55935.4421777623</v>
      </c>
      <c r="P26" s="25" t="n">
        <f aca="false">-IS!P26</f>
        <v>-60433.4863853765</v>
      </c>
    </row>
    <row r="27" customFormat="false" ht="15" hidden="false" customHeight="false" outlineLevel="0" collapsed="false">
      <c r="A27" s="32" t="s">
        <v>145</v>
      </c>
      <c r="B27" s="48" t="s">
        <v>130</v>
      </c>
      <c r="C27" s="38" t="n">
        <f aca="false">SUM(C25:C26)</f>
        <v>-9592</v>
      </c>
      <c r="D27" s="38" t="n">
        <f aca="false">SUM(D25:D26)</f>
        <v>-11435</v>
      </c>
      <c r="E27" s="38" t="n">
        <f aca="false">SUM(E25:E26)</f>
        <v>-19263</v>
      </c>
      <c r="F27" s="38" t="n">
        <f aca="false">SUM(F25:F26)</f>
        <v>-14439</v>
      </c>
      <c r="G27" s="38" t="n">
        <f aca="false">SUM(G25:G26)</f>
        <v>-15715</v>
      </c>
      <c r="H27" s="38" t="n">
        <f aca="false">SUM(H25:H26)</f>
        <v>-42220</v>
      </c>
      <c r="I27" s="38" t="n">
        <f aca="false">SUM(I25:I26)</f>
        <v>-26093</v>
      </c>
      <c r="J27" s="38" t="n">
        <f aca="false">SUM(J25:J26)</f>
        <v>-44241</v>
      </c>
      <c r="K27" s="38" t="n">
        <f aca="false">SUM(K25:K26)</f>
        <v>-37929</v>
      </c>
      <c r="L27" s="38" t="n">
        <f aca="false">SUM(L25:L26)</f>
        <v>-42893.674326</v>
      </c>
      <c r="M27" s="38" t="n">
        <f aca="false">SUM(M25:M26)</f>
        <v>-47003.5935555653</v>
      </c>
      <c r="N27" s="38" t="n">
        <f aca="false">SUM(N25:N26)</f>
        <v>-50753.8027115087</v>
      </c>
      <c r="O27" s="38" t="n">
        <f aca="false">SUM(O25:O26)</f>
        <v>-55935.4421777623</v>
      </c>
      <c r="P27" s="38" t="n">
        <f aca="false">SUM(P25:P26)</f>
        <v>-60433.4863853765</v>
      </c>
    </row>
    <row r="28" customFormat="false" ht="15" hidden="false" customHeight="false" outlineLevel="0" collapsed="false">
      <c r="A28" s="32" t="s">
        <v>146</v>
      </c>
      <c r="B28" s="47" t="s">
        <v>130</v>
      </c>
      <c r="C28" s="33" t="n">
        <f aca="false">C21+C24+C27</f>
        <v>20428</v>
      </c>
      <c r="D28" s="33" t="n">
        <f aca="false">D21+D24+D27</f>
        <v>21681</v>
      </c>
      <c r="E28" s="33" t="n">
        <f aca="false">E21+E24+E27</f>
        <v>7210</v>
      </c>
      <c r="F28" s="33" t="n">
        <f aca="false">F21+F24+F27</f>
        <v>15858</v>
      </c>
      <c r="G28" s="33" t="n">
        <f aca="false">G21+G24+G27</f>
        <v>28897</v>
      </c>
      <c r="H28" s="33" t="n">
        <f aca="false">H21+H24+H27</f>
        <v>-8261</v>
      </c>
      <c r="I28" s="33" t="n">
        <f aca="false">I21+I24+I27</f>
        <v>21862</v>
      </c>
      <c r="J28" s="33" t="n">
        <f aca="false">J21+J24+J27</f>
        <v>1095</v>
      </c>
      <c r="K28" s="33" t="n">
        <f aca="false">K21+K24+K27</f>
        <v>-5405</v>
      </c>
      <c r="L28" s="33" t="n">
        <f aca="false">L21+L24+L27</f>
        <v>-652.529506308223</v>
      </c>
      <c r="M28" s="33" t="n">
        <f aca="false">M21+M24+M27</f>
        <v>-200.5525955025</v>
      </c>
      <c r="N28" s="33" t="n">
        <f aca="false">N21+N24+N27</f>
        <v>1124.85025126812</v>
      </c>
      <c r="O28" s="33" t="n">
        <f aca="false">O21+O24+O27</f>
        <v>586.371596935671</v>
      </c>
      <c r="P28" s="33" t="n">
        <f aca="false">P21+P24+P27</f>
        <v>639.083533038822</v>
      </c>
    </row>
    <row r="29" customFormat="false" ht="15" hidden="false" customHeight="false" outlineLevel="0" collapsed="false">
      <c r="A29" s="40" t="s">
        <v>129</v>
      </c>
      <c r="B29" s="47" t="s">
        <v>130</v>
      </c>
      <c r="C29" s="25" t="n">
        <f aca="false">BS!B11</f>
        <v>4149</v>
      </c>
      <c r="D29" s="25" t="n">
        <f aca="false">BS!C11</f>
        <v>7161</v>
      </c>
      <c r="E29" s="25" t="n">
        <f aca="false">BS!D11</f>
        <v>12848</v>
      </c>
      <c r="F29" s="25" t="n">
        <f aca="false">BS!E11</f>
        <v>9666</v>
      </c>
      <c r="G29" s="25" t="n">
        <f aca="false">BS!F11</f>
        <v>9329</v>
      </c>
      <c r="H29" s="25" t="n">
        <f aca="false">BS!G11</f>
        <v>18221</v>
      </c>
      <c r="I29" s="25" t="n">
        <f aca="false">BS!H11</f>
        <v>11032</v>
      </c>
      <c r="J29" s="25" t="n">
        <f aca="false">BS!I11</f>
        <v>13286</v>
      </c>
      <c r="K29" s="25" t="n">
        <f aca="false">BS!J11</f>
        <v>15463</v>
      </c>
      <c r="L29" s="25" t="n">
        <f aca="false">BS!K11</f>
        <v>12908</v>
      </c>
      <c r="M29" s="29" t="n">
        <f aca="false">L30</f>
        <v>12255.4704936918</v>
      </c>
      <c r="N29" s="29" t="n">
        <f aca="false">M30</f>
        <v>12054.9178981893</v>
      </c>
      <c r="O29" s="29" t="n">
        <f aca="false">N30</f>
        <v>13179.7681494574</v>
      </c>
      <c r="P29" s="29" t="n">
        <f aca="false">O30</f>
        <v>13766.1397463931</v>
      </c>
    </row>
    <row r="30" customFormat="false" ht="15" hidden="false" customHeight="false" outlineLevel="0" collapsed="false">
      <c r="A30" s="32" t="s">
        <v>147</v>
      </c>
      <c r="B30" s="49" t="s">
        <v>130</v>
      </c>
      <c r="C30" s="39" t="n">
        <f aca="false">C29+C28</f>
        <v>24577</v>
      </c>
      <c r="D30" s="39" t="n">
        <f aca="false">D29+D28</f>
        <v>28842</v>
      </c>
      <c r="E30" s="39" t="n">
        <f aca="false">E29+E28</f>
        <v>20058</v>
      </c>
      <c r="F30" s="39" t="n">
        <f aca="false">F29+F28</f>
        <v>25524</v>
      </c>
      <c r="G30" s="39" t="n">
        <f aca="false">G29+G28</f>
        <v>38226</v>
      </c>
      <c r="H30" s="39" t="n">
        <f aca="false">H29+H28</f>
        <v>9960</v>
      </c>
      <c r="I30" s="39" t="n">
        <f aca="false">I29+I28</f>
        <v>32894</v>
      </c>
      <c r="J30" s="39" t="n">
        <f aca="false">J29+J28</f>
        <v>14381</v>
      </c>
      <c r="K30" s="39" t="n">
        <f aca="false">K29+K28</f>
        <v>10058</v>
      </c>
      <c r="L30" s="39" t="n">
        <f aca="false">L29+L28</f>
        <v>12255.4704936918</v>
      </c>
      <c r="M30" s="39" t="n">
        <f aca="false">M29+M28</f>
        <v>12054.9178981893</v>
      </c>
      <c r="N30" s="39" t="n">
        <f aca="false">N29+N28</f>
        <v>13179.7681494574</v>
      </c>
      <c r="O30" s="39" t="n">
        <f aca="false">O29+O28</f>
        <v>13766.1397463931</v>
      </c>
      <c r="P30" s="39" t="n">
        <f aca="false">P29+P28</f>
        <v>14405.2232794319</v>
      </c>
    </row>
    <row r="32" customFormat="false" ht="15" hidden="false" customHeight="false" outlineLevel="0" collapsed="false">
      <c r="A32" s="13" t="s">
        <v>148</v>
      </c>
    </row>
  </sheetData>
  <mergeCells count="2">
    <mergeCell ref="A4:P4"/>
    <mergeCell ref="A13:P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P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16" min="2" style="1" width="11"/>
  </cols>
  <sheetData>
    <row r="1" customFormat="false" ht="17.35" hidden="false" customHeight="false" outlineLevel="0" collapsed="false">
      <c r="A1" s="11" t="s">
        <v>149</v>
      </c>
    </row>
    <row r="2" customFormat="false" ht="15" hidden="false" customHeight="false" outlineLevel="0" collapsed="false">
      <c r="A2" s="31" t="s">
        <v>150</v>
      </c>
    </row>
    <row r="4" customFormat="false" ht="18" hidden="false" customHeight="true" outlineLevel="0" collapsed="false">
      <c r="A4" s="6" t="s">
        <v>151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customFormat="false" ht="15.75" hidden="false" customHeight="true" outlineLevel="0" collapsed="false">
      <c r="A5" s="13" t="s">
        <v>26</v>
      </c>
      <c r="B5" s="14" t="s">
        <v>27</v>
      </c>
      <c r="C5" s="14" t="s">
        <v>28</v>
      </c>
      <c r="D5" s="14" t="s">
        <v>29</v>
      </c>
      <c r="E5" s="14" t="s">
        <v>30</v>
      </c>
      <c r="F5" s="14" t="s">
        <v>31</v>
      </c>
      <c r="G5" s="14" t="s">
        <v>32</v>
      </c>
      <c r="H5" s="14" t="s">
        <v>33</v>
      </c>
      <c r="I5" s="14" t="s">
        <v>34</v>
      </c>
      <c r="J5" s="14" t="s">
        <v>35</v>
      </c>
      <c r="K5" s="14" t="s">
        <v>36</v>
      </c>
      <c r="L5" s="14" t="s">
        <v>37</v>
      </c>
      <c r="M5" s="14" t="s">
        <v>38</v>
      </c>
      <c r="N5" s="14" t="s">
        <v>39</v>
      </c>
      <c r="O5" s="14" t="s">
        <v>40</v>
      </c>
      <c r="P5" s="14" t="s">
        <v>41</v>
      </c>
    </row>
    <row r="6" customFormat="false" ht="15" hidden="false" customHeight="false" outlineLevel="0" collapsed="false">
      <c r="A6" s="7" t="s">
        <v>152</v>
      </c>
      <c r="C6" s="15" t="n">
        <f aca="false">IS!C7</f>
        <v>0.0435549226048184</v>
      </c>
      <c r="D6" s="15" t="n">
        <f aca="false">IS!D7</f>
        <v>0.189750129971406</v>
      </c>
      <c r="E6" s="15" t="n">
        <f aca="false">IS!E7</f>
        <v>0.0715948737906502</v>
      </c>
      <c r="F6" s="15" t="n">
        <f aca="false">IS!F7</f>
        <v>0.0460531765095669</v>
      </c>
      <c r="G6" s="15" t="n">
        <f aca="false">IS!G7</f>
        <v>0.167971153084781</v>
      </c>
      <c r="H6" s="15" t="n">
        <f aca="false">IS!H7</f>
        <v>0.175766867966249</v>
      </c>
      <c r="I6" s="15" t="n">
        <f aca="false">IS!I7</f>
        <v>0.0684606445546399</v>
      </c>
      <c r="J6" s="15" t="n">
        <f aca="false">IS!J7</f>
        <v>0.0599062654373519</v>
      </c>
      <c r="K6" s="15" t="n">
        <f aca="false">IS!K7</f>
        <v>0.0458123795647882</v>
      </c>
      <c r="L6" s="15" t="n">
        <f aca="false">IS!L7</f>
        <v>0.0700000000000001</v>
      </c>
      <c r="M6" s="15" t="n">
        <f aca="false">IS!M7</f>
        <v>0.075</v>
      </c>
      <c r="N6" s="15" t="n">
        <f aca="false">IS!N7</f>
        <v>0.0800000000000001</v>
      </c>
      <c r="O6" s="15" t="n">
        <f aca="false">IS!O7</f>
        <v>0.0800000000000001</v>
      </c>
      <c r="P6" s="15" t="n">
        <f aca="false">IS!P7</f>
        <v>0.0800000000000001</v>
      </c>
    </row>
    <row r="7" customFormat="false" ht="15" hidden="false" customHeight="false" outlineLevel="0" collapsed="false">
      <c r="A7" s="7" t="s">
        <v>153</v>
      </c>
      <c r="C7" s="15" t="n">
        <f aca="false">IFERROR(IS!C15/IS!B15-1,"")</f>
        <v>0.00637573506654277</v>
      </c>
      <c r="D7" s="15" t="n">
        <f aca="false">IFERROR(IS!D15/IS!C15-1,"")</f>
        <v>0.214971091155124</v>
      </c>
      <c r="E7" s="15" t="n">
        <f aca="false">IFERROR(IS!E15/IS!D15-1,"")</f>
        <v>0.0658887257631753</v>
      </c>
      <c r="F7" s="15" t="n">
        <f aca="false">IFERROR(IS!F15/IS!E15-1,"")</f>
        <v>0.105369398465886</v>
      </c>
      <c r="G7" s="15" t="n">
        <f aca="false">IFERROR(IS!G15/IS!F15-1,"")</f>
        <v>0.139883126369613</v>
      </c>
      <c r="H7" s="15" t="n">
        <f aca="false">IFERROR(IS!H15/IS!G15-1,"")</f>
        <v>0.116893152647153</v>
      </c>
      <c r="I7" s="15" t="n">
        <f aca="false">IFERROR(IS!I15/IS!H15-1,"")</f>
        <v>0.0849997468738926</v>
      </c>
      <c r="J7" s="15" t="n">
        <f aca="false">IFERROR(IS!J15/IS!I15-1,"")</f>
        <v>0.0483855916386711</v>
      </c>
      <c r="K7" s="15" t="n">
        <f aca="false">IFERROR(IS!K15/IS!J15-1,"")</f>
        <v>0.0740427552034655</v>
      </c>
      <c r="L7" s="15" t="n">
        <f aca="false">IFERROR(IS!L15/IS!K15-1,"")</f>
        <v>0.0457996705710102</v>
      </c>
      <c r="M7" s="15" t="n">
        <f aca="false">IFERROR(IS!M15/IS!L15-1,"")</f>
        <v>0.0952830188679246</v>
      </c>
      <c r="N7" s="15" t="n">
        <f aca="false">IFERROR(IS!N15/IS!M15-1,"")</f>
        <v>0.0800000000000001</v>
      </c>
      <c r="O7" s="15" t="n">
        <f aca="false">IFERROR(IS!O15/IS!N15-1,"")</f>
        <v>0.1</v>
      </c>
      <c r="P7" s="15" t="n">
        <f aca="false">IFERROR(IS!P15/IS!O15-1,"")</f>
        <v>0.0799999999999999</v>
      </c>
    </row>
    <row r="8" customFormat="false" ht="15" hidden="false" customHeight="false" outlineLevel="0" collapsed="false">
      <c r="A8" s="7" t="s">
        <v>154</v>
      </c>
      <c r="C8" s="15" t="n">
        <f aca="false">IFERROR(IS!C24/IS!B24-1,"")</f>
        <v>-0.0180604037031415</v>
      </c>
      <c r="D8" s="15" t="n">
        <f aca="false">IFERROR(IS!D24/IS!C24-1,"")</f>
        <v>0.219551777434312</v>
      </c>
      <c r="E8" s="15" t="n">
        <f aca="false">IFERROR(IS!E24/IS!D24-1,"")</f>
        <v>0.0280400481591787</v>
      </c>
      <c r="F8" s="15" t="n">
        <f aca="false">IFERROR(IS!F24/IS!E24-1,"")</f>
        <v>0.0035442413782476</v>
      </c>
      <c r="G8" s="15" t="n">
        <f aca="false">IFERROR(IS!G24/IS!F24-1,"")</f>
        <v>0.180793563048953</v>
      </c>
      <c r="H8" s="15" t="n">
        <f aca="false">IFERROR(IS!H24/IS!G24-1,"")</f>
        <v>0.100236677156753</v>
      </c>
      <c r="I8" s="15" t="n">
        <f aca="false">IFERROR(IS!I24/IS!H24-1,"")</f>
        <v>0.0897335886343758</v>
      </c>
      <c r="J8" s="15" t="n">
        <f aca="false">IFERROR(IS!J24/IS!I24-1,"")</f>
        <v>0.0585262153192043</v>
      </c>
      <c r="K8" s="15" t="n">
        <f aca="false">IFERROR(IS!K24/IS!J24-1,"")</f>
        <v>0.0134639424554788</v>
      </c>
      <c r="L8" s="15" t="n">
        <f aca="false">IFERROR(IS!L24/IS!K24-1,"")</f>
        <v>0.0841811159360213</v>
      </c>
      <c r="M8" s="15" t="n">
        <f aca="false">IFERROR(IS!M24/IS!L24-1,"")</f>
        <v>0.0958164413318656</v>
      </c>
      <c r="N8" s="15" t="n">
        <f aca="false">IFERROR(IS!N24/IS!M24-1,"")</f>
        <v>0.079785583872646</v>
      </c>
      <c r="O8" s="15" t="n">
        <f aca="false">IFERROR(IS!O24/IS!N24-1,"")</f>
        <v>0.102093620367853</v>
      </c>
      <c r="P8" s="15" t="n">
        <f aca="false">IFERROR(IS!P24/IS!O24-1,"")</f>
        <v>0.0804149217828556</v>
      </c>
    </row>
    <row r="9" customFormat="false" ht="15" hidden="false" customHeight="false" outlineLevel="0" collapsed="false">
      <c r="A9" s="7" t="s">
        <v>155</v>
      </c>
      <c r="C9" s="15" t="n">
        <f aca="false">IFERROR(IS!C31/IS!B31-1,"")</f>
        <v>0.0107417215290939</v>
      </c>
      <c r="D9" s="15" t="n">
        <f aca="false">IFERROR(IS!D31/IS!C31-1,"")</f>
        <v>0.244317219668748</v>
      </c>
      <c r="E9" s="15" t="n">
        <f aca="false">IFERROR(IS!E31/IS!D31-1,"")</f>
        <v>0.0280400481591787</v>
      </c>
      <c r="F9" s="15" t="n">
        <f aca="false">IFERROR(IS!F31/IS!E31-1,"")</f>
        <v>0.0180042203097337</v>
      </c>
      <c r="G9" s="15" t="n">
        <f aca="false">IFERROR(IS!G31/IS!F31-1,"")</f>
        <v>0.193701584836266</v>
      </c>
      <c r="H9" s="15" t="n">
        <f aca="false">IFERROR(IS!H31/IS!G31-1,"")</f>
        <v>0.100236677156753</v>
      </c>
      <c r="I9" s="15" t="n">
        <f aca="false">IFERROR(IS!I31/IS!H31-1,"")</f>
        <v>0.102082356532999</v>
      </c>
      <c r="J9" s="15" t="n">
        <f aca="false">IFERROR(IS!J31/IS!I31-1,"")</f>
        <v>0.0585262153192043</v>
      </c>
      <c r="K9" s="15" t="n">
        <f aca="false">IFERROR(IS!K31/IS!J31-1,"")</f>
        <v>0.0134639424554788</v>
      </c>
      <c r="L9" s="15" t="n">
        <f aca="false">IFERROR(IS!L31/IS!K31-1,"")</f>
        <v>0.0841811159360213</v>
      </c>
      <c r="M9" s="15" t="n">
        <f aca="false">IFERROR(IS!M31/IS!L31-1,"")</f>
        <v>0.0958164413318656</v>
      </c>
      <c r="N9" s="15" t="n">
        <f aca="false">IFERROR(IS!N31/IS!M31-1,"")</f>
        <v>0.079785583872646</v>
      </c>
      <c r="O9" s="15" t="n">
        <f aca="false">IFERROR(IS!O31/IS!N31-1,"")</f>
        <v>0.102093620367853</v>
      </c>
      <c r="P9" s="15" t="n">
        <f aca="false">IFERROR(IS!P31/IS!O31-1,"")</f>
        <v>0.0804149217828556</v>
      </c>
    </row>
    <row r="11" customFormat="false" ht="18" hidden="false" customHeight="true" outlineLevel="0" collapsed="false">
      <c r="A11" s="6" t="s">
        <v>156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customFormat="false" ht="15" hidden="false" customHeight="false" outlineLevel="0" collapsed="false">
      <c r="A12" s="7" t="s">
        <v>157</v>
      </c>
      <c r="B12" s="50" t="n">
        <f aca="false">IS!B16</f>
        <v>0.273892477493515</v>
      </c>
      <c r="C12" s="50" t="n">
        <f aca="false">IS!C16</f>
        <v>0.264134390434104</v>
      </c>
      <c r="D12" s="50" t="n">
        <f aca="false">IS!D16</f>
        <v>0.26973365286796</v>
      </c>
      <c r="E12" s="50" t="n">
        <f aca="false">IS!E16</f>
        <v>0.26829734499742</v>
      </c>
      <c r="F12" s="50" t="n">
        <f aca="false">IS!F16</f>
        <v>0.283511088642136</v>
      </c>
      <c r="G12" s="50" t="n">
        <f aca="false">IS!G16</f>
        <v>0.276693054642928</v>
      </c>
      <c r="H12" s="50" t="n">
        <f aca="false">IS!H16</f>
        <v>0.262838311348455</v>
      </c>
      <c r="I12" s="50" t="n">
        <f aca="false">IS!I16</f>
        <v>0.266906883969231</v>
      </c>
      <c r="J12" s="50" t="n">
        <f aca="false">IS!J16</f>
        <v>0.264005733891056</v>
      </c>
      <c r="K12" s="50" t="n">
        <f aca="false">IS!K16</f>
        <v>0.271132233045341</v>
      </c>
      <c r="L12" s="50" t="n">
        <f aca="false">IS!L16</f>
        <v>0.265</v>
      </c>
      <c r="M12" s="50" t="n">
        <f aca="false">IS!M16</f>
        <v>0.27</v>
      </c>
      <c r="N12" s="50" t="n">
        <f aca="false">IS!N16</f>
        <v>0.27</v>
      </c>
      <c r="O12" s="50" t="n">
        <f aca="false">IS!O16</f>
        <v>0.275</v>
      </c>
      <c r="P12" s="50" t="n">
        <f aca="false">IS!P16</f>
        <v>0.275</v>
      </c>
    </row>
    <row r="13" customFormat="false" ht="15" hidden="false" customHeight="false" outlineLevel="0" collapsed="false">
      <c r="A13" s="7" t="s">
        <v>158</v>
      </c>
      <c r="B13" s="15" t="n">
        <f aca="false">IS!B19/IS!B6</f>
        <v>0.257048641133886</v>
      </c>
      <c r="C13" s="15" t="n">
        <f aca="false">IS!C19/IS!C6</f>
        <v>0.247774239667273</v>
      </c>
      <c r="D13" s="15" t="n">
        <f aca="false">IS!D19/IS!D6</f>
        <v>0.255695977823751</v>
      </c>
      <c r="E13" s="15" t="n">
        <f aca="false">IS!E19/IS!E6</f>
        <v>0.245812333942873</v>
      </c>
      <c r="F13" s="15" t="n">
        <f aca="false">IS!F19/IS!F6</f>
        <v>0.258751225811167</v>
      </c>
      <c r="G13" s="15" t="n">
        <f aca="false">IS!G19/IS!G6</f>
        <v>0.252683125254232</v>
      </c>
      <c r="H13" s="15" t="n">
        <f aca="false">IS!H19/IS!H6</f>
        <v>0.240563652653709</v>
      </c>
      <c r="I13" s="15" t="n">
        <f aca="false">IS!I19/IS!I6</f>
        <v>0.246213048947043</v>
      </c>
      <c r="J13" s="15" t="n">
        <f aca="false">IS!J19/IS!J6</f>
        <v>0.243474957309144</v>
      </c>
      <c r="K13" s="15" t="n">
        <f aca="false">IS!K19/IS!K6</f>
        <v>0.250309900719419</v>
      </c>
      <c r="L13" s="15" t="n">
        <f aca="false">IS!L19/IS!L6</f>
        <v>0.243</v>
      </c>
      <c r="M13" s="15" t="n">
        <f aca="false">IS!M19/IS!M6</f>
        <v>0.248</v>
      </c>
      <c r="N13" s="15" t="n">
        <f aca="false">IS!N19/IS!N6</f>
        <v>0.248</v>
      </c>
      <c r="O13" s="15" t="n">
        <f aca="false">IS!O19/IS!O6</f>
        <v>0.253</v>
      </c>
      <c r="P13" s="15" t="n">
        <f aca="false">IS!P19/IS!P6</f>
        <v>0.253</v>
      </c>
    </row>
    <row r="14" customFormat="false" ht="15" hidden="false" customHeight="false" outlineLevel="0" collapsed="false">
      <c r="A14" s="7" t="s">
        <v>159</v>
      </c>
      <c r="B14" s="15" t="n">
        <f aca="false">IS!B25</f>
        <v>0.223420307546242</v>
      </c>
      <c r="C14" s="15" t="n">
        <f aca="false">IS!C25</f>
        <v>0.210228749675072</v>
      </c>
      <c r="D14" s="15" t="n">
        <f aca="false">IS!D25</f>
        <v>0.215494698319712</v>
      </c>
      <c r="E14" s="15" t="n">
        <f aca="false">IS!E25</f>
        <v>0.206735946071654</v>
      </c>
      <c r="F14" s="15" t="n">
        <f aca="false">IS!F25</f>
        <v>0.198334724108736</v>
      </c>
      <c r="G14" s="15" t="n">
        <f aca="false">IS!G25</f>
        <v>0.200512114480011</v>
      </c>
      <c r="H14" s="15" t="n">
        <f aca="false">IS!H25</f>
        <v>0.187631399196303</v>
      </c>
      <c r="I14" s="15" t="n">
        <f aca="false">IS!I25</f>
        <v>0.191367121502078</v>
      </c>
      <c r="J14" s="15" t="n">
        <f aca="false">IS!J25</f>
        <v>0.191117952092244</v>
      </c>
      <c r="K14" s="15" t="n">
        <f aca="false">IS!K25</f>
        <v>0.185206406986716</v>
      </c>
      <c r="L14" s="15" t="n">
        <f aca="false">IS!L25</f>
        <v>0.187661017762018</v>
      </c>
      <c r="M14" s="15" t="n">
        <f aca="false">IS!M25</f>
        <v>0.191294910382038</v>
      </c>
      <c r="N14" s="15" t="n">
        <f aca="false">IS!N25</f>
        <v>0.191256931943272</v>
      </c>
      <c r="O14" s="15" t="n">
        <f aca="false">IS!O25</f>
        <v>0.195169485690564</v>
      </c>
      <c r="P14" s="15" t="n">
        <f aca="false">IS!P25</f>
        <v>0.195244467237751</v>
      </c>
    </row>
    <row r="15" customFormat="false" ht="15" hidden="false" customHeight="false" outlineLevel="0" collapsed="false">
      <c r="A15" s="7" t="s">
        <v>160</v>
      </c>
      <c r="B15" s="50" t="n">
        <f aca="false">IS!B24/(BS!B16+BS!B17)</f>
        <v>0.30570440995662</v>
      </c>
      <c r="C15" s="50" t="n">
        <f aca="false">IFERROR(IS!C24/AVERAGE(BS!B16+BS!B17,BS!C16+BS!C17),"")</f>
        <v>0.30208588670612</v>
      </c>
      <c r="D15" s="50" t="n">
        <f aca="false">IFERROR(IS!D24/AVERAGE(BS!C16+BS!C17,BS!D16+BS!D17),"")</f>
        <v>0.361588781834637</v>
      </c>
      <c r="E15" s="50" t="n">
        <f aca="false">IFERROR(IS!E24/AVERAGE(BS!D16+BS!D17,BS!E16+BS!E17),"")</f>
        <v>0.373873666259535</v>
      </c>
      <c r="F15" s="50" t="n">
        <f aca="false">IFERROR(IS!F24/AVERAGE(BS!E16+BS!E17,BS!F16+BS!F17),"")</f>
        <v>0.381826816526832</v>
      </c>
      <c r="G15" s="50" t="n">
        <f aca="false">IFERROR(IS!G24/AVERAGE(BS!F16+BS!F17,BS!G16+BS!G17),"")</f>
        <v>0.437985555783382</v>
      </c>
      <c r="H15" s="50" t="n">
        <f aca="false">IFERROR(IS!H24/AVERAGE(BS!G16+BS!G17,BS!H16+BS!H17),"")</f>
        <v>0.471177246982953</v>
      </c>
      <c r="I15" s="50" t="n">
        <f aca="false">IFERROR(IS!I24/AVERAGE(BS!H16+BS!H17,BS!I16+BS!I17),"")</f>
        <v>0.509626173906795</v>
      </c>
      <c r="J15" s="50" t="n">
        <f aca="false">IFERROR(IS!J24/AVERAGE(BS!I16+BS!I17,BS!J16+BS!J17),"")</f>
        <v>0.526837431509622</v>
      </c>
      <c r="K15" s="50" t="n">
        <f aca="false">IFERROR(IS!K24/AVERAGE(BS!J16+BS!J17,BS!K16+BS!K17),"")</f>
        <v>0.489653260460603</v>
      </c>
      <c r="L15" s="50" t="n">
        <f aca="false">IFERROR(IS!L24/AVERAGE(BS!K16+BS!K17,BS!L16+BS!L17),"")</f>
        <v>0.47616588811325</v>
      </c>
      <c r="M15" s="50" t="n">
        <f aca="false">IFERROR(IS!M24/AVERAGE(BS!L16+BS!L17,BS!M16+BS!M17),"")</f>
        <v>0.474443064601961</v>
      </c>
      <c r="N15" s="50" t="n">
        <f aca="false">IFERROR(IS!N24/AVERAGE(BS!M16+BS!M17,BS!N16+BS!N17),"")</f>
        <v>0.466286440473171</v>
      </c>
      <c r="O15" s="50" t="n">
        <f aca="false">IFERROR(IS!O24/AVERAGE(BS!N16+BS!N17,BS!O16+BS!O17),"")</f>
        <v>0.468017297102575</v>
      </c>
      <c r="P15" s="50" t="n">
        <f aca="false">IFERROR(IS!P24/AVERAGE(BS!O16+BS!O17,BS!P16+BS!P17),"")</f>
        <v>0.460787378949591</v>
      </c>
    </row>
    <row r="16" customFormat="false" ht="15" hidden="false" customHeight="false" outlineLevel="0" collapsed="false">
      <c r="A16" s="7" t="s">
        <v>161</v>
      </c>
      <c r="B16" s="15" t="n">
        <f aca="false">IS!B19/(BS!B16+BS!B17+BS!B18)</f>
        <v>0.350542755742575</v>
      </c>
      <c r="C16" s="15" t="n">
        <f aca="false">IFERROR(IS!C19/AVERAGE(BS!B16+BS!B17+BS!B18,BS!C16+BS!C17+BS!C18),"")</f>
        <v>0.354926168561421</v>
      </c>
      <c r="D16" s="15" t="n">
        <f aca="false">IFERROR(IS!D19/AVERAGE(BS!C16+BS!C17+BS!C18,BS!D16+BS!D17+BS!D18),"")</f>
        <v>0.428286340010178</v>
      </c>
      <c r="E16" s="15" t="n">
        <f aca="false">IFERROR(IS!E19/AVERAGE(BS!D16+BS!D17+BS!D18,BS!E16+BS!E17+BS!E18),"")</f>
        <v>0.42440376661093</v>
      </c>
      <c r="F16" s="15" t="n">
        <f aca="false">IFERROR(IS!F19/AVERAGE(BS!E16+BS!E17+BS!E18,BS!F16+BS!F17+BS!F18),"")</f>
        <v>0.455491936867387</v>
      </c>
      <c r="G16" s="15" t="n">
        <f aca="false">IFERROR(IS!G19/AVERAGE(BS!F16+BS!F17+BS!F18,BS!G16+BS!G17+BS!G18),"")</f>
        <v>0.506870308863143</v>
      </c>
      <c r="H16" s="15" t="n">
        <f aca="false">IFERROR(IS!H19/AVERAGE(BS!G16+BS!G17+BS!G18,BS!H16+BS!H17+BS!H18),"")</f>
        <v>0.556080156252403</v>
      </c>
      <c r="I16" s="15" t="n">
        <f aca="false">IFERROR(IS!I19/AVERAGE(BS!H16+BS!H17+BS!H18,BS!I16+BS!I17+BS!I18),"")</f>
        <v>0.603299732481615</v>
      </c>
      <c r="J16" s="15" t="n">
        <f aca="false">IFERROR(IS!J19/AVERAGE(BS!I16+BS!I17+BS!I18,BS!J16+BS!J17+BS!J18),"")</f>
        <v>0.61349662979009</v>
      </c>
      <c r="K16" s="15" t="n">
        <f aca="false">IFERROR(IS!K19/AVERAGE(BS!J16+BS!J17+BS!J18,BS!K16+BS!K17+BS!K18),"")</f>
        <v>0.600329634303524</v>
      </c>
      <c r="L16" s="15" t="n">
        <f aca="false">IFERROR(IS!L19/AVERAGE(BS!K16+BS!K17+BS!K18,BS!L16+BS!L17+BS!L18),"")</f>
        <v>0.560425339071155</v>
      </c>
      <c r="M16" s="15" t="n">
        <f aca="false">IFERROR(IS!M19/AVERAGE(BS!L16+BS!L17+BS!L18,BS!M16+BS!M17+BS!M18),"")</f>
        <v>0.563720334507987</v>
      </c>
      <c r="N16" s="15" t="n">
        <f aca="false">IFERROR(IS!N19/AVERAGE(BS!M16+BS!M17+BS!M18,BS!N16+BS!N17+BS!N18),"")</f>
        <v>0.558326041473443</v>
      </c>
      <c r="O16" s="15" t="n">
        <f aca="false">IFERROR(IS!O19/AVERAGE(BS!N16+BS!N17+BS!N18,BS!O16+BS!O17+BS!O18),"")</f>
        <v>0.564092195740833</v>
      </c>
      <c r="P16" s="15" t="n">
        <f aca="false">IFERROR(IS!P19/AVERAGE(BS!O16+BS!O17+BS!O18,BS!P16+BS!P17+BS!P18),"")</f>
        <v>0.558645517587975</v>
      </c>
    </row>
    <row r="17" customFormat="false" ht="15" hidden="false" customHeight="false" outlineLevel="0" collapsed="false">
      <c r="A17" s="7" t="s">
        <v>162</v>
      </c>
      <c r="B17" s="15" t="n">
        <f aca="false">IS!B24/BS!B13</f>
        <v>0.257551327528754</v>
      </c>
      <c r="C17" s="15" t="n">
        <f aca="false">IFERROR(IS!C24/AVERAGE(BS!B13,BS!C13),"")</f>
        <v>0.249495080955755</v>
      </c>
      <c r="D17" s="15" t="n">
        <f aca="false">IFERROR(IS!D24/AVERAGE(BS!C13,BS!D13),"")</f>
        <v>0.2882019111799</v>
      </c>
      <c r="E17" s="15" t="n">
        <f aca="false">IFERROR(IS!E24/AVERAGE(BS!D13,BS!E13),"")</f>
        <v>0.2772916061326</v>
      </c>
      <c r="F17" s="15" t="n">
        <f aca="false">IFERROR(IS!F24/AVERAGE(BS!E13,BS!F13),"")</f>
        <v>0.260372062898061</v>
      </c>
      <c r="G17" s="15" t="n">
        <f aca="false">IFERROR(IS!G24/AVERAGE(BS!F13,BS!G13),"")</f>
        <v>0.28384443886666</v>
      </c>
      <c r="H17" s="15" t="n">
        <f aca="false">IFERROR(IS!H24/AVERAGE(BS!G13,BS!H13),"")</f>
        <v>0.298136251995363</v>
      </c>
      <c r="I17" s="15" t="n">
        <f aca="false">IFERROR(IS!I24/AVERAGE(BS!H13,BS!I13),"")</f>
        <v>0.319764437400071</v>
      </c>
      <c r="J17" s="15" t="n">
        <f aca="false">IFERROR(IS!J24/AVERAGE(BS!I13,BS!J13),"")</f>
        <v>0.320905166035887</v>
      </c>
      <c r="K17" s="15" t="n">
        <f aca="false">IFERROR(IS!K24/AVERAGE(BS!J13,BS!K13),"")</f>
        <v>0.291063399015938</v>
      </c>
      <c r="L17" s="15" t="n">
        <f aca="false">IFERROR(IS!L24/AVERAGE(BS!K13,BS!L13),"")</f>
        <v>0.284237143157816</v>
      </c>
      <c r="M17" s="15" t="n">
        <f aca="false">IFERROR(IS!M24/AVERAGE(BS!L13,BS!M13),"")</f>
        <v>0.287328103144034</v>
      </c>
      <c r="N17" s="15" t="n">
        <f aca="false">IFERROR(IS!N24/AVERAGE(BS!M13,BS!N13),"")</f>
        <v>0.285663512709128</v>
      </c>
      <c r="O17" s="15" t="n">
        <f aca="false">IFERROR(IS!O24/AVERAGE(BS!N13,BS!O13),"")</f>
        <v>0.289637048737885</v>
      </c>
      <c r="P17" s="15" t="n">
        <f aca="false">IFERROR(IS!P24/AVERAGE(BS!O13,BS!P13),"")</f>
        <v>0.287880139150721</v>
      </c>
    </row>
    <row r="19" customFormat="false" ht="18" hidden="false" customHeight="true" outlineLevel="0" collapsed="false">
      <c r="A19" s="6" t="s">
        <v>163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customFormat="false" ht="15" hidden="false" customHeight="false" outlineLevel="0" collapsed="false">
      <c r="A20" s="7" t="s">
        <v>164</v>
      </c>
      <c r="B20" s="17" t="n">
        <f aca="false">BS!B9/IS!B6*365</f>
        <v>69.9795279995931</v>
      </c>
      <c r="C20" s="17" t="n">
        <f aca="false">BS!C9/IS!C6*365</f>
        <v>73.9553142058747</v>
      </c>
      <c r="D20" s="17" t="n">
        <f aca="false">BS!D9/IS!D6*365</f>
        <v>68.1488840184893</v>
      </c>
      <c r="E20" s="17" t="n">
        <f aca="false">BS!E9/IS!E6*365</f>
        <v>71.0051035686752</v>
      </c>
      <c r="F20" s="17" t="n">
        <f aca="false">BS!F9/IS!F6*365</f>
        <v>66.8719430858159</v>
      </c>
      <c r="G20" s="17" t="n">
        <f aca="false">BS!G9/IS!G6*365</f>
        <v>79.5845197492621</v>
      </c>
      <c r="H20" s="17" t="n">
        <f aca="false">BS!H9/IS!H6*365</f>
        <v>80.8718697052223</v>
      </c>
      <c r="I20" s="17" t="n">
        <f aca="false">BS!I9/IS!I6*365</f>
        <v>81.1796316206781</v>
      </c>
      <c r="J20" s="17" t="n">
        <f aca="false">BS!J9/IS!J6*365</f>
        <v>84.4095737180994</v>
      </c>
      <c r="K20" s="17" t="n">
        <f aca="false">BS!K9/IS!K6*365</f>
        <v>92.5605476722805</v>
      </c>
      <c r="L20" s="17" t="n">
        <f aca="false">BS!L9/IS!L6*365</f>
        <v>92</v>
      </c>
      <c r="M20" s="17" t="n">
        <f aca="false">BS!M9/IS!M6*365</f>
        <v>91</v>
      </c>
      <c r="N20" s="17" t="n">
        <f aca="false">BS!N9/IS!N6*365</f>
        <v>90</v>
      </c>
      <c r="O20" s="17" t="n">
        <f aca="false">BS!O9/IS!O6*365</f>
        <v>90</v>
      </c>
      <c r="P20" s="17" t="n">
        <f aca="false">BS!P9/IS!P6*365</f>
        <v>90</v>
      </c>
    </row>
    <row r="21" customFormat="false" ht="15" hidden="false" customHeight="false" outlineLevel="0" collapsed="false">
      <c r="A21" s="7" t="s">
        <v>165</v>
      </c>
      <c r="B21" s="51" t="n">
        <f aca="false">IS!B6/BS!B13</f>
        <v>1.15276596992173</v>
      </c>
      <c r="C21" s="51" t="n">
        <f aca="false">IS!C6/BS!C13</f>
        <v>1.17101383102182</v>
      </c>
      <c r="D21" s="51" t="n">
        <f aca="false">IS!D6/BS!D13</f>
        <v>1.28587984302157</v>
      </c>
      <c r="E21" s="51" t="n">
        <f aca="false">IS!E6/BS!E13</f>
        <v>1.30652559374662</v>
      </c>
      <c r="F21" s="51" t="n">
        <f aca="false">IS!F6/BS!F13</f>
        <v>1.26297772170595</v>
      </c>
      <c r="G21" s="51" t="n">
        <f aca="false">IS!G6/BS!G13</f>
        <v>1.3606908688371</v>
      </c>
      <c r="H21" s="51" t="n">
        <f aca="false">IS!H6/BS!H13</f>
        <v>1.57818548358871</v>
      </c>
      <c r="I21" s="51" t="n">
        <f aca="false">IS!I6/BS!I13</f>
        <v>1.65594066212055</v>
      </c>
      <c r="J21" s="51" t="n">
        <f aca="false">IS!J6/BS!J13</f>
        <v>1.60936406784789</v>
      </c>
      <c r="K21" s="51" t="n">
        <f aca="false">IS!K6/BS!K13</f>
        <v>1.47389425226449</v>
      </c>
      <c r="L21" s="51" t="n">
        <f aca="false">IS!L6/BS!L13</f>
        <v>1.45695002644895</v>
      </c>
      <c r="M21" s="51" t="n">
        <f aca="false">IS!M6/BS!M13</f>
        <v>1.44286829655578</v>
      </c>
      <c r="N21" s="51" t="n">
        <f aca="false">IS!N6/BS!N13</f>
        <v>1.43408117099549</v>
      </c>
      <c r="O21" s="51" t="n">
        <f aca="false">IS!O6/BS!O13</f>
        <v>1.42445030606274</v>
      </c>
      <c r="P21" s="51" t="n">
        <f aca="false">IS!P6/BS!P13</f>
        <v>1.41561741100083</v>
      </c>
    </row>
    <row r="22" customFormat="false" ht="15" hidden="false" customHeight="false" outlineLevel="0" collapsed="false">
      <c r="A22" s="7" t="s">
        <v>166</v>
      </c>
      <c r="B22" s="52" t="n">
        <f aca="false">IS!B6/(BS!B6+BS!B7)</f>
        <v>8.90847304032624</v>
      </c>
      <c r="C22" s="52" t="n">
        <f aca="false">IS!C6/(BS!C6+BS!C7)</f>
        <v>9.29016677986567</v>
      </c>
      <c r="D22" s="52" t="n">
        <f aca="false">IS!D6/(BS!D6+BS!D7)</f>
        <v>11.0513091375538</v>
      </c>
      <c r="E22" s="52" t="n">
        <f aca="false">IS!E6/(BS!E6+BS!E7)</f>
        <v>7.18828432719612</v>
      </c>
      <c r="F22" s="52" t="n">
        <f aca="false">IS!F6/(BS!F6+BS!F7)</f>
        <v>7.48061238438055</v>
      </c>
      <c r="G22" s="52" t="n">
        <f aca="false">IS!G6/(BS!G6+BS!G7)</f>
        <v>8.52126383148914</v>
      </c>
      <c r="H22" s="52" t="n">
        <f aca="false">IS!H6/(BS!H6+BS!H7)</f>
        <v>10.366361671801</v>
      </c>
      <c r="I22" s="52" t="n">
        <f aca="false">IS!I6/(BS!I6+BS!I7)</f>
        <v>11.3800547996977</v>
      </c>
      <c r="J22" s="52" t="n">
        <f aca="false">IS!J6/(BS!J6+BS!J7)</f>
        <v>10.3794463189561</v>
      </c>
      <c r="K22" s="52" t="n">
        <f aca="false">IS!K6/(BS!K6+BS!K7)</f>
        <v>7.85171136203246</v>
      </c>
      <c r="L22" s="52" t="n">
        <f aca="false">IS!L6/(BS!L6+BS!L7)</f>
        <v>7.0408276827286</v>
      </c>
      <c r="M22" s="52" t="n">
        <f aca="false">IS!M6/(BS!M6+BS!M7)</f>
        <v>6.44663138647667</v>
      </c>
      <c r="N22" s="52" t="n">
        <f aca="false">IS!N6/(BS!N6+BS!N7)</f>
        <v>6.18699244867995</v>
      </c>
      <c r="O22" s="52" t="n">
        <f aca="false">IS!O6/(BS!O6+BS!O7)</f>
        <v>5.96456320999806</v>
      </c>
      <c r="P22" s="52" t="n">
        <f aca="false">IS!P6/(BS!P6+BS!P7)</f>
        <v>5.77241083053465</v>
      </c>
    </row>
    <row r="24" customFormat="false" ht="18" hidden="false" customHeight="true" outlineLevel="0" collapsed="false">
      <c r="A24" s="6" t="s">
        <v>167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customFormat="false" ht="15" hidden="false" customHeight="false" outlineLevel="0" collapsed="false">
      <c r="A25" s="7" t="s">
        <v>168</v>
      </c>
      <c r="B25" s="51" t="n">
        <f aca="false">BS!B18/(BS!B16+BS!B17)</f>
        <v>0.00335212378500012</v>
      </c>
      <c r="C25" s="51" t="n">
        <f aca="false">BS!C18/(BS!C16+BS!C17)</f>
        <v>0.00290151301569401</v>
      </c>
      <c r="D25" s="51" t="n">
        <f aca="false">BS!D18/(BS!D16+BS!D17)</f>
        <v>0.000693155646982537</v>
      </c>
      <c r="E25" s="51" t="n">
        <f aca="false">BS!E18/(BS!E16+BS!E17)</f>
        <v>0.0971637781423104</v>
      </c>
      <c r="F25" s="51" t="n">
        <f aca="false">BS!F18/(BS!F16+BS!F17)</f>
        <v>0.0901854615713906</v>
      </c>
      <c r="G25" s="51" t="n">
        <f aca="false">BS!G18/(BS!G16+BS!G17)</f>
        <v>0.0877057180358766</v>
      </c>
      <c r="H25" s="51" t="n">
        <f aca="false">BS!H18/(BS!H16+BS!H17)</f>
        <v>0.0850216756613289</v>
      </c>
      <c r="I25" s="51" t="n">
        <f aca="false">BS!I18/(BS!I16+BS!I17)</f>
        <v>0.0886406082507266</v>
      </c>
      <c r="J25" s="51" t="n">
        <f aca="false">BS!J18/(BS!J16+BS!J17)</f>
        <v>0.0991177339693529</v>
      </c>
      <c r="K25" s="51" t="n">
        <f aca="false">BS!K18/(BS!K16+BS!K17)</f>
        <v>0.105212607236106</v>
      </c>
      <c r="L25" s="51" t="n">
        <f aca="false">BS!L18/(BS!L16+BS!L17)</f>
        <v>0.0956482961894214</v>
      </c>
      <c r="M25" s="51" t="n">
        <f aca="false">BS!M18/(BS!M16+BS!M17)</f>
        <v>0.0869834592165757</v>
      </c>
      <c r="N25" s="51" t="n">
        <f aca="false">BS!N18/(BS!N16+BS!N17)</f>
        <v>0.0792330106102204</v>
      </c>
      <c r="O25" s="51" t="n">
        <f aca="false">BS!O18/(BS!O16+BS!O17)</f>
        <v>0.0721481122164512</v>
      </c>
      <c r="P25" s="51" t="n">
        <f aca="false">BS!P18/(BS!P16+BS!P17)</f>
        <v>0.0657920056787581</v>
      </c>
    </row>
    <row r="26" customFormat="false" ht="15" hidden="false" customHeight="false" outlineLevel="0" collapsed="false">
      <c r="A26" s="7" t="s">
        <v>169</v>
      </c>
      <c r="B26" s="52" t="n">
        <f aca="false">BS!B18/IS!B15</f>
        <v>0.00894459919529557</v>
      </c>
      <c r="C26" s="52" t="n">
        <f aca="false">BS!C18/IS!C15</f>
        <v>0.00759626030262025</v>
      </c>
      <c r="D26" s="52" t="n">
        <f aca="false">BS!D18/IS!D15</f>
        <v>0.00156938186604566</v>
      </c>
      <c r="E26" s="52" t="n">
        <f aca="false">BS!E18/IS!E15</f>
        <v>0.194115272269586</v>
      </c>
      <c r="F26" s="52" t="n">
        <f aca="false">BS!F18/IS!F15</f>
        <v>0.167468740600696</v>
      </c>
      <c r="G26" s="52" t="n">
        <f aca="false">BS!G18/IS!G15</f>
        <v>0.147350962172758</v>
      </c>
      <c r="H26" s="52" t="n">
        <f aca="false">BS!H18/IS!H15</f>
        <v>0.129735567593108</v>
      </c>
      <c r="I26" s="52" t="n">
        <f aca="false">BS!I18/IS!I15</f>
        <v>0.124751150926963</v>
      </c>
      <c r="J26" s="52" t="n">
        <f aca="false">BS!J18/IS!J15</f>
        <v>0.139332710252644</v>
      </c>
      <c r="K26" s="52" t="n">
        <f aca="false">BS!K18/IS!K15</f>
        <v>0.155846846597972</v>
      </c>
      <c r="L26" s="52" t="n">
        <f aca="false">BS!L18/IS!L15</f>
        <v>0.149021701749896</v>
      </c>
      <c r="M26" s="52" t="n">
        <f aca="false">BS!M18/IS!M15</f>
        <v>0.136057712191981</v>
      </c>
      <c r="N26" s="52" t="n">
        <f aca="false">BS!N18/IS!N15</f>
        <v>0.125979363140723</v>
      </c>
      <c r="O26" s="52" t="n">
        <f aca="false">BS!O18/IS!O15</f>
        <v>0.114526693764293</v>
      </c>
      <c r="P26" s="52" t="n">
        <f aca="false">BS!P18/IS!P15</f>
        <v>0.106043234966938</v>
      </c>
    </row>
    <row r="27" customFormat="false" ht="15" hidden="false" customHeight="false" outlineLevel="0" collapsed="false">
      <c r="A27" s="7" t="s">
        <v>170</v>
      </c>
      <c r="B27" s="52" t="n">
        <f aca="false">IFERROR(IS!B19/IS!B20,"")</f>
        <v>947.59375</v>
      </c>
      <c r="C27" s="52" t="n">
        <f aca="false">IFERROR(IS!C19/IS!C20,"")</f>
        <v>586.576923076923</v>
      </c>
      <c r="D27" s="52" t="n">
        <f aca="false">IFERROR(IS!D19/IS!D20,"")</f>
        <v>189.141414141414</v>
      </c>
      <c r="E27" s="52" t="n">
        <f aca="false">IFERROR(IS!E19/IS!E20,"")</f>
        <v>41.7532467532468</v>
      </c>
      <c r="F27" s="52" t="n">
        <f aca="false">IFERROR(IS!F19/IS!F20,"")</f>
        <v>66.6891679748823</v>
      </c>
      <c r="G27" s="52" t="n">
        <f aca="false">IFERROR(IS!G19/IS!G20,"")</f>
        <v>61.8022959183674</v>
      </c>
      <c r="H27" s="52" t="n">
        <f aca="false">IFERROR(IS!H19/IS!H20,"")</f>
        <v>69.6238767650834</v>
      </c>
      <c r="I27" s="52" t="n">
        <f aca="false">IFERROR(IS!I19/IS!I20,"")</f>
        <v>76.2352185089974</v>
      </c>
      <c r="J27" s="52" t="n">
        <f aca="false">IFERROR(IS!J19/IS!J20,"")</f>
        <v>78.0967336683417</v>
      </c>
      <c r="K27" s="52" t="n">
        <f aca="false">IFERROR(IS!K19/IS!K20,"")</f>
        <v>54.4726976365118</v>
      </c>
      <c r="L27" s="52" t="n">
        <f aca="false">IFERROR(IS!L19/IS!L20,"")</f>
        <v>82.0445274129221</v>
      </c>
      <c r="M27" s="52" t="n">
        <f aca="false">IFERROR(IS!M19/IS!M20,"")</f>
        <v>90.0126378941771</v>
      </c>
      <c r="N27" s="52" t="n">
        <f aca="false">IFERROR(IS!N19/IS!N20,"")</f>
        <v>97.2136489257113</v>
      </c>
      <c r="O27" s="52" t="n">
        <f aca="false">IFERROR(IS!O19/IS!O20,"")</f>
        <v>107.107489647022</v>
      </c>
      <c r="P27" s="52" t="n">
        <f aca="false">IFERROR(IS!P19/IS!P20,"")</f>
        <v>115.676088818783</v>
      </c>
    </row>
    <row r="28" customFormat="false" ht="15" hidden="false" customHeight="false" outlineLevel="0" collapsed="false">
      <c r="A28" s="7" t="s">
        <v>171</v>
      </c>
      <c r="B28" s="52" t="n">
        <f aca="false">BS!B26/IS!B15</f>
        <v>-1.41875580315692</v>
      </c>
      <c r="C28" s="52" t="n">
        <f aca="false">BS!C26/IS!C15</f>
        <v>-1.32002706359946</v>
      </c>
      <c r="D28" s="52" t="n">
        <f aca="false">BS!D26/IS!D15</f>
        <v>-1.06606591403837</v>
      </c>
      <c r="E28" s="52" t="n">
        <f aca="false">BS!E26/IS!E15</f>
        <v>-0.661331306846517</v>
      </c>
      <c r="F28" s="52" t="n">
        <f aca="false">BS!F26/IS!F15</f>
        <v>-0.664009796760194</v>
      </c>
      <c r="G28" s="52" t="n">
        <f aca="false">BS!G26/IS!G15</f>
        <v>-0.770642893491905</v>
      </c>
      <c r="H28" s="52" t="n">
        <f aca="false">BS!H26/IS!H15</f>
        <v>-0.683558615568943</v>
      </c>
      <c r="I28" s="52" t="n">
        <f aca="false">BS!I26/IS!I15</f>
        <v>-0.575883414209282</v>
      </c>
      <c r="J28" s="52" t="n">
        <f aca="false">BS!J26/IS!J15</f>
        <v>-0.549423650362722</v>
      </c>
      <c r="K28" s="52" t="n">
        <f aca="false">BS!K26/IS!K15</f>
        <v>-0.491905853752866</v>
      </c>
      <c r="L28" s="52" t="n">
        <f aca="false">BS!L26/IS!L15</f>
        <v>-0.493168065131813</v>
      </c>
      <c r="M28" s="52" t="n">
        <f aca="false">BS!M26/IS!M15</f>
        <v>-0.480737429397001</v>
      </c>
      <c r="N28" s="52" t="n">
        <f aca="false">BS!N26/IS!N15</f>
        <v>-0.492607345223162</v>
      </c>
      <c r="O28" s="52" t="n">
        <f aca="false">BS!O26/IS!O15</f>
        <v>-0.488062507482004</v>
      </c>
      <c r="P28" s="52" t="n">
        <f aca="false">BS!P26/IS!P15</f>
        <v>-0.492201909372542</v>
      </c>
    </row>
    <row r="30" customFormat="false" ht="18" hidden="false" customHeight="true" outlineLevel="0" collapsed="false">
      <c r="A30" s="6" t="s">
        <v>172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customFormat="false" ht="15" hidden="false" customHeight="false" outlineLevel="0" collapsed="false">
      <c r="A31" s="7" t="s">
        <v>173</v>
      </c>
      <c r="B31" s="28" t="n">
        <v>1215.9</v>
      </c>
      <c r="C31" s="28" t="n">
        <v>1424.58</v>
      </c>
      <c r="D31" s="28" t="n">
        <v>2001.65</v>
      </c>
      <c r="E31" s="28" t="n">
        <v>1826.1</v>
      </c>
      <c r="F31" s="28" t="n">
        <v>3177.85</v>
      </c>
      <c r="G31" s="28" t="n">
        <v>3739.95</v>
      </c>
      <c r="H31" s="28" t="n">
        <v>3205.9</v>
      </c>
      <c r="I31" s="28" t="n">
        <v>3876.3</v>
      </c>
      <c r="J31" s="28" t="n">
        <v>3606.15</v>
      </c>
      <c r="K31" s="28" t="n">
        <v>2358.9</v>
      </c>
      <c r="L31" s="46" t="n">
        <f aca="false">Assumptions!$C$35</f>
        <v>2093.5</v>
      </c>
      <c r="M31" s="46" t="n">
        <f aca="false">Assumptions!$C$35</f>
        <v>2093.5</v>
      </c>
      <c r="N31" s="46" t="n">
        <f aca="false">Assumptions!$C$35</f>
        <v>2093.5</v>
      </c>
      <c r="O31" s="46" t="n">
        <f aca="false">Assumptions!$C$35</f>
        <v>2093.5</v>
      </c>
      <c r="P31" s="46" t="n">
        <f aca="false">Assumptions!$C$35</f>
        <v>2093.5</v>
      </c>
    </row>
    <row r="32" customFormat="false" ht="15" hidden="false" customHeight="false" outlineLevel="0" collapsed="false">
      <c r="A32" s="7" t="s">
        <v>174</v>
      </c>
      <c r="B32" s="46" t="n">
        <f aca="false">IS!B31</f>
        <v>66.8781242863305</v>
      </c>
      <c r="C32" s="46" t="n">
        <f aca="false">IS!C31</f>
        <v>67.5965104738024</v>
      </c>
      <c r="D32" s="46" t="n">
        <f aca="false">IS!D31</f>
        <v>84.1115019720712</v>
      </c>
      <c r="E32" s="46" t="n">
        <f aca="false">IS!E31</f>
        <v>86.4699925381089</v>
      </c>
      <c r="F32" s="46" t="n">
        <f aca="false">IS!F31</f>
        <v>88.0268173339461</v>
      </c>
      <c r="G32" s="46" t="n">
        <f aca="false">IS!G31</f>
        <v>105.077751359624</v>
      </c>
      <c r="H32" s="46" t="n">
        <f aca="false">IS!H31</f>
        <v>115.610395999016</v>
      </c>
      <c r="I32" s="46" t="n">
        <f aca="false">IS!I31</f>
        <v>127.412177662309</v>
      </c>
      <c r="J32" s="46" t="n">
        <f aca="false">IS!J31</f>
        <v>134.869130206462</v>
      </c>
      <c r="K32" s="46" t="n">
        <f aca="false">IS!K31</f>
        <v>136.685000414582</v>
      </c>
      <c r="L32" s="46" t="n">
        <f aca="false">IS!L31</f>
        <v>148.191296281197</v>
      </c>
      <c r="M32" s="46" t="n">
        <f aca="false">IS!M31</f>
        <v>162.390458927218</v>
      </c>
      <c r="N32" s="46" t="n">
        <f aca="false">IS!N31</f>
        <v>175.346876508073</v>
      </c>
      <c r="O32" s="46" t="n">
        <f aca="false">IS!O31</f>
        <v>193.248673950977</v>
      </c>
      <c r="P32" s="46" t="n">
        <f aca="false">IS!P31</f>
        <v>208.788750951385</v>
      </c>
    </row>
    <row r="33" customFormat="false" ht="15" hidden="false" customHeight="false" outlineLevel="0" collapsed="false">
      <c r="A33" s="22" t="s">
        <v>175</v>
      </c>
      <c r="B33" s="53" t="n">
        <f aca="false">B31/B32</f>
        <v>18.1808328653817</v>
      </c>
      <c r="C33" s="53" t="n">
        <f aca="false">C31/C32</f>
        <v>21.0747565224111</v>
      </c>
      <c r="D33" s="53" t="n">
        <f aca="false">D31/D32</f>
        <v>23.7975776566758</v>
      </c>
      <c r="E33" s="53" t="n">
        <f aca="false">E31/E32</f>
        <v>21.1183087496533</v>
      </c>
      <c r="F33" s="53" t="n">
        <f aca="false">F31/F32</f>
        <v>36.1009303329034</v>
      </c>
      <c r="G33" s="53" t="n">
        <f aca="false">G31/G32</f>
        <v>35.5922157793441</v>
      </c>
      <c r="H33" s="53" t="n">
        <f aca="false">H31/H32</f>
        <v>27.7302051627544</v>
      </c>
      <c r="I33" s="53" t="n">
        <f aca="false">I31/I32</f>
        <v>30.4233085967158</v>
      </c>
      <c r="J33" s="53" t="n">
        <f aca="false">J31/J32</f>
        <v>26.7381423345697</v>
      </c>
      <c r="K33" s="53" t="n">
        <f aca="false">K31/K32</f>
        <v>17.2579287620819</v>
      </c>
      <c r="L33" s="53" t="n">
        <f aca="false">L31/L32</f>
        <v>14.1270105096289</v>
      </c>
      <c r="M33" s="53" t="n">
        <f aca="false">M31/M32</f>
        <v>12.8917672493203</v>
      </c>
      <c r="N33" s="53" t="n">
        <f aca="false">N31/N32</f>
        <v>11.9391918561128</v>
      </c>
      <c r="O33" s="53" t="n">
        <f aca="false">O31/O32</f>
        <v>10.8331920586999</v>
      </c>
      <c r="P33" s="53" t="n">
        <f aca="false">P31/P32</f>
        <v>10.0268811919252</v>
      </c>
    </row>
    <row r="34" customFormat="false" ht="15" hidden="false" customHeight="false" outlineLevel="0" collapsed="false">
      <c r="A34" s="7" t="s">
        <v>176</v>
      </c>
      <c r="B34" s="46" t="n">
        <f aca="false">BS!B27</f>
        <v>218.767286660408</v>
      </c>
      <c r="C34" s="46" t="n">
        <f aca="false">BS!C27</f>
        <v>222.347594420937</v>
      </c>
      <c r="D34" s="46" t="n">
        <f aca="false">BS!D27</f>
        <v>238.370109796397</v>
      </c>
      <c r="E34" s="46" t="n">
        <f aca="false">BS!E27</f>
        <v>224.192516789255</v>
      </c>
      <c r="F34" s="46" t="n">
        <f aca="false">BS!F27</f>
        <v>233.659538806737</v>
      </c>
      <c r="G34" s="46" t="n">
        <f aca="false">BS!G27</f>
        <v>243.609084201033</v>
      </c>
      <c r="H34" s="46" t="n">
        <f aca="false">BS!H27</f>
        <v>247.120876718319</v>
      </c>
      <c r="I34" s="46" t="n">
        <f aca="false">BS!I27</f>
        <v>250.100881678229</v>
      </c>
      <c r="J34" s="46" t="n">
        <f aca="false">BS!J27</f>
        <v>261.894364445427</v>
      </c>
      <c r="K34" s="46" t="n">
        <f aca="false">BS!K27</f>
        <v>296.398662281308</v>
      </c>
      <c r="L34" s="46" t="n">
        <f aca="false">BS!L27</f>
        <v>326.036921537547</v>
      </c>
      <c r="M34" s="46" t="n">
        <f aca="false">BS!M27</f>
        <v>358.515013322991</v>
      </c>
      <c r="N34" s="46" t="n">
        <f aca="false">BS!N27</f>
        <v>393.584388624605</v>
      </c>
      <c r="O34" s="46" t="n">
        <f aca="false">BS!O27</f>
        <v>432.234123414801</v>
      </c>
      <c r="P34" s="46" t="n">
        <f aca="false">BS!P27</f>
        <v>473.991873605078</v>
      </c>
    </row>
    <row r="35" customFormat="false" ht="15" hidden="false" customHeight="false" outlineLevel="0" collapsed="false">
      <c r="A35" s="22" t="s">
        <v>177</v>
      </c>
      <c r="B35" s="54" t="n">
        <f aca="false">B31/B34</f>
        <v>5.55796078363143</v>
      </c>
      <c r="C35" s="54" t="n">
        <f aca="false">C31/C34</f>
        <v>6.40699533408514</v>
      </c>
      <c r="D35" s="54" t="n">
        <f aca="false">D31/D34</f>
        <v>8.39723571763969</v>
      </c>
      <c r="E35" s="54" t="n">
        <f aca="false">E31/E34</f>
        <v>8.14523172384281</v>
      </c>
      <c r="F35" s="54" t="n">
        <f aca="false">F31/F34</f>
        <v>13.600343543554</v>
      </c>
      <c r="G35" s="54" t="n">
        <f aca="false">G31/G34</f>
        <v>15.3522600040386</v>
      </c>
      <c r="H35" s="54" t="n">
        <f aca="false">H31/H34</f>
        <v>12.9730035057065</v>
      </c>
      <c r="I35" s="54" t="n">
        <f aca="false">I31/I34</f>
        <v>15.4989457613633</v>
      </c>
      <c r="J35" s="54" t="n">
        <f aca="false">J31/J34</f>
        <v>13.7694830037148</v>
      </c>
      <c r="K35" s="54" t="n">
        <f aca="false">K31/K34</f>
        <v>7.95853794293174</v>
      </c>
      <c r="L35" s="54" t="n">
        <f aca="false">L31/L34</f>
        <v>6.42105191684221</v>
      </c>
      <c r="M35" s="54" t="n">
        <f aca="false">M31/M34</f>
        <v>5.83936494205875</v>
      </c>
      <c r="N35" s="54" t="n">
        <f aca="false">N31/N34</f>
        <v>5.3190625962473</v>
      </c>
      <c r="O35" s="54" t="n">
        <f aca="false">O31/O34</f>
        <v>4.84343990118276</v>
      </c>
      <c r="P35" s="54" t="n">
        <f aca="false">P31/P34</f>
        <v>4.41674238859266</v>
      </c>
    </row>
    <row r="36" customFormat="false" ht="15" hidden="false" customHeight="false" outlineLevel="0" collapsed="false">
      <c r="A36" s="7" t="s">
        <v>178</v>
      </c>
      <c r="B36" s="46" t="n">
        <f aca="false">IS!B32</f>
        <v>23.4946332056129</v>
      </c>
      <c r="C36" s="46" t="n">
        <f aca="false">IS!C32</f>
        <v>24.9438437026589</v>
      </c>
      <c r="D36" s="46" t="n">
        <f aca="false">IS!D32</f>
        <v>29.9808122801407</v>
      </c>
      <c r="E36" s="46" t="n">
        <f aca="false">IS!E32</f>
        <v>72.9533098816757</v>
      </c>
      <c r="F36" s="46" t="n">
        <f aca="false">IS!F32</f>
        <v>38.0092454921467</v>
      </c>
      <c r="G36" s="46" t="n">
        <f aca="false">IS!G32</f>
        <v>43.0105763712388</v>
      </c>
      <c r="H36" s="46" t="n">
        <f aca="false">IS!H32</f>
        <v>115.028285644011</v>
      </c>
      <c r="I36" s="46" t="n">
        <f aca="false">IS!I32</f>
        <v>73.038335037727</v>
      </c>
      <c r="J36" s="46" t="n">
        <f aca="false">IS!J32</f>
        <v>126.066167325392</v>
      </c>
      <c r="K36" s="46" t="n">
        <f aca="false">IS!K32</f>
        <v>110.057765125342</v>
      </c>
      <c r="L36" s="46" t="n">
        <f aca="false">IS!L32</f>
        <v>118.553037024958</v>
      </c>
      <c r="M36" s="46" t="n">
        <f aca="false">IS!M32</f>
        <v>129.912367141774</v>
      </c>
      <c r="N36" s="46" t="n">
        <f aca="false">IS!N32</f>
        <v>140.277501206458</v>
      </c>
      <c r="O36" s="46" t="n">
        <f aca="false">IS!O32</f>
        <v>154.598939160781</v>
      </c>
      <c r="P36" s="46" t="n">
        <f aca="false">IS!P32</f>
        <v>167.031000761108</v>
      </c>
    </row>
    <row r="37" customFormat="false" ht="15" hidden="false" customHeight="false" outlineLevel="0" collapsed="false">
      <c r="A37" s="7" t="s">
        <v>179</v>
      </c>
      <c r="B37" s="55" t="n">
        <f aca="false">B36/B31</f>
        <v>0.019322833461315</v>
      </c>
      <c r="C37" s="55" t="n">
        <f aca="false">C36/C31</f>
        <v>0.0175096124490439</v>
      </c>
      <c r="D37" s="55" t="n">
        <f aca="false">D36/D31</f>
        <v>0.0149780492494396</v>
      </c>
      <c r="E37" s="55" t="n">
        <f aca="false">E36/E31</f>
        <v>0.0399503367185125</v>
      </c>
      <c r="F37" s="55" t="n">
        <f aca="false">F36/F31</f>
        <v>0.0119606795450216</v>
      </c>
      <c r="G37" s="55" t="n">
        <f aca="false">G36/G31</f>
        <v>0.0115003078573882</v>
      </c>
      <c r="H37" s="55" t="n">
        <f aca="false">H36/H31</f>
        <v>0.0358801851723419</v>
      </c>
      <c r="I37" s="55" t="n">
        <f aca="false">I36/I31</f>
        <v>0.0188422813089098</v>
      </c>
      <c r="J37" s="55" t="n">
        <f aca="false">J36/J31</f>
        <v>0.0349586587705425</v>
      </c>
      <c r="K37" s="55" t="n">
        <f aca="false">K36/K31</f>
        <v>0.0466563928633439</v>
      </c>
      <c r="L37" s="55" t="n">
        <f aca="false">L36/L31</f>
        <v>0.0566291077262755</v>
      </c>
      <c r="M37" s="55" t="n">
        <f aca="false">M36/M31</f>
        <v>0.0620551073044061</v>
      </c>
      <c r="N37" s="55" t="n">
        <f aca="false">N36/N31</f>
        <v>0.0670062102729679</v>
      </c>
      <c r="O37" s="55" t="n">
        <f aca="false">O36/O31</f>
        <v>0.0738471168668648</v>
      </c>
      <c r="P37" s="55" t="n">
        <f aca="false">P36/P31</f>
        <v>0.0797855269936031</v>
      </c>
    </row>
    <row r="38" customFormat="false" ht="15" hidden="false" customHeight="false" outlineLevel="0" collapsed="false">
      <c r="A38" s="22" t="s">
        <v>180</v>
      </c>
      <c r="B38" s="54" t="n">
        <f aca="false">(B31*IS!B30+BS!B18-BS!B11-BS!B8)/IS!B15</f>
        <v>13.4117620241411</v>
      </c>
      <c r="C38" s="54" t="n">
        <f aca="false">(C31*IS!C30+BS!C18-BS!C11-BS!C8)/IS!C15</f>
        <v>15.4537058309755</v>
      </c>
      <c r="D38" s="54" t="n">
        <f aca="false">(D31*IS!D30+BS!D18-BS!D11-BS!D8)/IS!D15</f>
        <v>17.946214397813</v>
      </c>
      <c r="E38" s="54" t="n">
        <f aca="false">(E31*IS!E30+BS!E18-BS!E11-BS!E8)/IS!E15</f>
        <v>15.6113363888955</v>
      </c>
      <c r="F38" s="54" t="n">
        <f aca="false">(F31*IS!F30+BS!F18-BS!F11-BS!F8)/IS!F15</f>
        <v>24.590974380183</v>
      </c>
      <c r="G38" s="54" t="n">
        <f aca="false">(G31*IS!G30+BS!G18-BS!G11-BS!G8)/IS!G15</f>
        <v>25.0220914205477</v>
      </c>
      <c r="H38" s="54" t="n">
        <f aca="false">(H31*IS!H30+BS!H18-BS!H11-BS!H8)/IS!H15</f>
        <v>19.1120989048077</v>
      </c>
      <c r="I38" s="54" t="n">
        <f aca="false">(I31*IS!I30+BS!I18-BS!I11-BS!I8)/IS!I15</f>
        <v>21.2370458971009</v>
      </c>
      <c r="J38" s="54" t="n">
        <f aca="false">(J31*IS!J30+BS!J18-BS!J11-BS!J8)/IS!J15</f>
        <v>18.8067430904802</v>
      </c>
      <c r="K38" s="54" t="n">
        <f aca="false">(K31*IS!K30+BS!K18-BS!K11-BS!K8)/IS!K15</f>
        <v>11.296729315727</v>
      </c>
      <c r="L38" s="54" t="n">
        <f aca="false">(L31*IS!L30+BS!L18-BS!L11-BS!L8)/IS!L15</f>
        <v>9.51094201098772</v>
      </c>
      <c r="M38" s="54" t="n">
        <f aca="false">(M31*IS!M30+BS!M18-BS!M11-BS!M8)/IS!M15</f>
        <v>8.65307538773194</v>
      </c>
      <c r="N38" s="54" t="n">
        <f aca="false">(N31*IS!N30+BS!N18-BS!N11-BS!N8)/IS!N15</f>
        <v>7.96462674471105</v>
      </c>
      <c r="O38" s="54" t="n">
        <f aca="false">(O31*IS!O30+BS!O18-BS!O11-BS!O8)/IS!O15</f>
        <v>7.20033211973091</v>
      </c>
      <c r="P38" s="54" t="n">
        <f aca="false">(P31*IS!P30+BS!P18-BS!P11-BS!P8)/IS!P15</f>
        <v>6.62668200471349</v>
      </c>
    </row>
  </sheetData>
  <mergeCells count="5">
    <mergeCell ref="A4:P4"/>
    <mergeCell ref="A11:P11"/>
    <mergeCell ref="A19:P19"/>
    <mergeCell ref="A24:P24"/>
    <mergeCell ref="A30:P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P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16" min="2" style="1" width="11"/>
  </cols>
  <sheetData>
    <row r="1" customFormat="false" ht="17.35" hidden="false" customHeight="false" outlineLevel="0" collapsed="false">
      <c r="A1" s="11" t="s">
        <v>181</v>
      </c>
    </row>
    <row r="2" customFormat="false" ht="15" hidden="false" customHeight="false" outlineLevel="0" collapsed="false">
      <c r="A2" s="31" t="s">
        <v>182</v>
      </c>
    </row>
    <row r="4" customFormat="false" ht="18" hidden="false" customHeight="true" outlineLevel="0" collapsed="false">
      <c r="A4" s="6" t="s">
        <v>183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customFormat="false" ht="15.75" hidden="false" customHeight="true" outlineLevel="0" collapsed="false">
      <c r="A5" s="13" t="s">
        <v>26</v>
      </c>
      <c r="B5" s="14" t="s">
        <v>27</v>
      </c>
      <c r="C5" s="14" t="s">
        <v>28</v>
      </c>
      <c r="D5" s="14" t="s">
        <v>29</v>
      </c>
      <c r="E5" s="14" t="s">
        <v>30</v>
      </c>
      <c r="F5" s="14" t="s">
        <v>31</v>
      </c>
      <c r="G5" s="14" t="s">
        <v>32</v>
      </c>
      <c r="H5" s="14" t="s">
        <v>33</v>
      </c>
      <c r="I5" s="14" t="s">
        <v>34</v>
      </c>
      <c r="J5" s="14" t="s">
        <v>35</v>
      </c>
      <c r="K5" s="14" t="s">
        <v>36</v>
      </c>
      <c r="L5" s="14" t="s">
        <v>37</v>
      </c>
      <c r="M5" s="14" t="s">
        <v>38</v>
      </c>
      <c r="N5" s="14" t="s">
        <v>39</v>
      </c>
      <c r="O5" s="14" t="s">
        <v>40</v>
      </c>
      <c r="P5" s="14" t="s">
        <v>41</v>
      </c>
    </row>
    <row r="6" customFormat="false" ht="15" hidden="false" customHeight="false" outlineLevel="0" collapsed="false">
      <c r="A6" s="40" t="s">
        <v>88</v>
      </c>
      <c r="B6" s="25" t="n">
        <f aca="false">IS!B19</f>
        <v>30323</v>
      </c>
      <c r="C6" s="25" t="n">
        <f aca="false">IS!C19</f>
        <v>30502</v>
      </c>
      <c r="D6" s="25" t="n">
        <f aca="false">IS!D19</f>
        <v>37450</v>
      </c>
      <c r="E6" s="25" t="n">
        <f aca="false">IS!E19</f>
        <v>38580</v>
      </c>
      <c r="F6" s="25" t="n">
        <f aca="false">IS!F19</f>
        <v>42481</v>
      </c>
      <c r="G6" s="25" t="n">
        <f aca="false">IS!G19</f>
        <v>48453</v>
      </c>
      <c r="H6" s="25" t="n">
        <f aca="false">IS!H19</f>
        <v>54237</v>
      </c>
      <c r="I6" s="25" t="n">
        <f aca="false">IS!I19</f>
        <v>59311</v>
      </c>
      <c r="J6" s="25" t="n">
        <f aca="false">IS!J19</f>
        <v>62165</v>
      </c>
      <c r="K6" s="25" t="n">
        <f aca="false">IS!K19</f>
        <v>66838</v>
      </c>
      <c r="L6" s="25" t="n">
        <f aca="false">IS!L19</f>
        <v>69428.13021</v>
      </c>
      <c r="M6" s="25" t="n">
        <f aca="false">IS!M19</f>
        <v>76170.944502</v>
      </c>
      <c r="N6" s="25" t="n">
        <f aca="false">IS!N19</f>
        <v>82264.62006216</v>
      </c>
      <c r="O6" s="25" t="n">
        <f aca="false">IS!O19</f>
        <v>90637.0354265508</v>
      </c>
      <c r="P6" s="25" t="n">
        <f aca="false">IS!P19</f>
        <v>97887.9982606749</v>
      </c>
    </row>
    <row r="7" customFormat="false" ht="15" hidden="false" customHeight="false" outlineLevel="0" collapsed="false">
      <c r="A7" s="40" t="s">
        <v>184</v>
      </c>
      <c r="B7" s="25" t="n">
        <f aca="false">-B6*IS!B23</f>
        <v>-7166.04044969866</v>
      </c>
      <c r="C7" s="25" t="n">
        <f aca="false">-C6*IS!C23</f>
        <v>-7347.24932535492</v>
      </c>
      <c r="D7" s="25" t="n">
        <f aca="false">-D6*IS!D23</f>
        <v>-9011.3189615764</v>
      </c>
      <c r="E7" s="25" t="n">
        <f aca="false">-E6*IS!E23</f>
        <v>-8950.07053588336</v>
      </c>
      <c r="F7" s="25" t="n">
        <f aca="false">-F6*IS!F23</f>
        <v>-10870.7092778793</v>
      </c>
      <c r="G7" s="25" t="n">
        <f aca="false">-G6*IS!G23</f>
        <v>-12409.7125776307</v>
      </c>
      <c r="H7" s="25" t="n">
        <f aca="false">-H6*IS!H23</f>
        <v>-13918.7999367389</v>
      </c>
      <c r="I7" s="25" t="n">
        <f aca="false">-I6*IS!I23</f>
        <v>-15209.2242850461</v>
      </c>
      <c r="J7" s="25" t="n">
        <f aca="false">-J6*IS!J23</f>
        <v>-15732.7472409729</v>
      </c>
      <c r="K7" s="25" t="n">
        <f aca="false">-K6*IS!K23</f>
        <v>-16363.7615709988</v>
      </c>
      <c r="L7" s="25" t="n">
        <f aca="false">-L6*IS!L23</f>
        <v>-17357.0325525</v>
      </c>
      <c r="M7" s="25" t="n">
        <f aca="false">-M6*IS!M23</f>
        <v>-19042.7361255</v>
      </c>
      <c r="N7" s="25" t="n">
        <f aca="false">-N6*IS!N23</f>
        <v>-20566.15501554</v>
      </c>
      <c r="O7" s="25" t="n">
        <f aca="false">-O6*IS!O23</f>
        <v>-22659.2588566377</v>
      </c>
      <c r="P7" s="25" t="n">
        <f aca="false">-P6*IS!P23</f>
        <v>-24471.9995651687</v>
      </c>
    </row>
    <row r="8" customFormat="false" ht="15" hidden="false" customHeight="false" outlineLevel="0" collapsed="false">
      <c r="A8" s="32" t="s">
        <v>185</v>
      </c>
      <c r="B8" s="33" t="n">
        <f aca="false">B6+B7</f>
        <v>23156.9595503013</v>
      </c>
      <c r="C8" s="33" t="n">
        <f aca="false">C6+C7</f>
        <v>23154.7506746451</v>
      </c>
      <c r="D8" s="33" t="n">
        <f aca="false">D6+D7</f>
        <v>28438.6810384236</v>
      </c>
      <c r="E8" s="33" t="n">
        <f aca="false">E6+E7</f>
        <v>29629.9294641166</v>
      </c>
      <c r="F8" s="33" t="n">
        <f aca="false">F6+F7</f>
        <v>31610.2907221207</v>
      </c>
      <c r="G8" s="33" t="n">
        <f aca="false">G6+G7</f>
        <v>36043.2874223693</v>
      </c>
      <c r="H8" s="33" t="n">
        <f aca="false">H6+H7</f>
        <v>40318.2000632611</v>
      </c>
      <c r="I8" s="33" t="n">
        <f aca="false">I6+I7</f>
        <v>44101.775714954</v>
      </c>
      <c r="J8" s="33" t="n">
        <f aca="false">J6+J7</f>
        <v>46432.2527590271</v>
      </c>
      <c r="K8" s="33" t="n">
        <f aca="false">K6+K7</f>
        <v>50474.2384290012</v>
      </c>
      <c r="L8" s="33" t="n">
        <f aca="false">L6+L7</f>
        <v>52071.0976575</v>
      </c>
      <c r="M8" s="33" t="n">
        <f aca="false">M6+M7</f>
        <v>57128.2083765</v>
      </c>
      <c r="N8" s="33" t="n">
        <f aca="false">N6+N7</f>
        <v>61698.46504662</v>
      </c>
      <c r="O8" s="33" t="n">
        <f aca="false">O6+O7</f>
        <v>67977.7765699131</v>
      </c>
      <c r="P8" s="33" t="n">
        <f aca="false">P6+P7</f>
        <v>73415.9986955062</v>
      </c>
    </row>
    <row r="9" customFormat="false" ht="15" hidden="false" customHeight="false" outlineLevel="0" collapsed="false">
      <c r="A9" s="40" t="s">
        <v>134</v>
      </c>
      <c r="B9" s="25" t="n">
        <f aca="false">IS!B18</f>
        <v>1987</v>
      </c>
      <c r="C9" s="25" t="n">
        <f aca="false">IS!C18</f>
        <v>2014</v>
      </c>
      <c r="D9" s="25" t="n">
        <f aca="false">IS!D18</f>
        <v>2056</v>
      </c>
      <c r="E9" s="25" t="n">
        <f aca="false">IS!E18</f>
        <v>3529</v>
      </c>
      <c r="F9" s="25" t="n">
        <f aca="false">IS!F18</f>
        <v>4065</v>
      </c>
      <c r="G9" s="25" t="n">
        <f aca="false">IS!G18</f>
        <v>4604</v>
      </c>
      <c r="H9" s="25" t="n">
        <f aca="false">IS!H18</f>
        <v>5022</v>
      </c>
      <c r="I9" s="25" t="n">
        <f aca="false">IS!I18</f>
        <v>4985</v>
      </c>
      <c r="J9" s="25" t="n">
        <f aca="false">IS!J18</f>
        <v>5242</v>
      </c>
      <c r="K9" s="25" t="n">
        <f aca="false">IS!K18</f>
        <v>5560</v>
      </c>
      <c r="L9" s="25" t="n">
        <f aca="false">IS!L18</f>
        <v>6285.67434</v>
      </c>
      <c r="M9" s="25" t="n">
        <f aca="false">IS!M18</f>
        <v>6757.0999155</v>
      </c>
      <c r="N9" s="25" t="n">
        <f aca="false">IS!N18</f>
        <v>7297.66790874</v>
      </c>
      <c r="O9" s="25" t="n">
        <f aca="false">IS!O18</f>
        <v>7881.4813414392</v>
      </c>
      <c r="P9" s="25" t="n">
        <f aca="false">IS!P18</f>
        <v>8511.99984875434</v>
      </c>
    </row>
    <row r="10" customFormat="false" ht="15" hidden="false" customHeight="false" outlineLevel="0" collapsed="false">
      <c r="A10" s="40" t="s">
        <v>140</v>
      </c>
      <c r="B10" s="47" t="s">
        <v>130</v>
      </c>
      <c r="C10" s="25" t="n">
        <f aca="false">CF!C22</f>
        <v>-2023</v>
      </c>
      <c r="D10" s="25" t="n">
        <f aca="false">CF!D22</f>
        <v>-2058</v>
      </c>
      <c r="E10" s="25" t="n">
        <f aca="false">CF!E22</f>
        <v>-12110</v>
      </c>
      <c r="F10" s="25" t="n">
        <f aca="false">CF!F22</f>
        <v>-4178</v>
      </c>
      <c r="G10" s="25" t="n">
        <f aca="false">CF!G22</f>
        <v>-5160</v>
      </c>
      <c r="H10" s="25" t="n">
        <f aca="false">CF!H22</f>
        <v>-4268</v>
      </c>
      <c r="I10" s="25" t="n">
        <f aca="false">CF!I22</f>
        <v>-4404</v>
      </c>
      <c r="J10" s="25" t="n">
        <f aca="false">CF!J22</f>
        <v>-8673</v>
      </c>
      <c r="K10" s="25" t="n">
        <f aca="false">CF!K22</f>
        <v>-14969</v>
      </c>
      <c r="L10" s="25" t="n">
        <f aca="false">CF!L22</f>
        <v>-12857.06115</v>
      </c>
      <c r="M10" s="25" t="n">
        <f aca="false">CF!M22</f>
        <v>-13821.34073625</v>
      </c>
      <c r="N10" s="25" t="n">
        <f aca="false">CF!N22</f>
        <v>-13268.4871068</v>
      </c>
      <c r="O10" s="25" t="n">
        <f aca="false">CF!O22</f>
        <v>-14329.966075344</v>
      </c>
      <c r="P10" s="25" t="n">
        <f aca="false">CF!P22</f>
        <v>-15476.3633613715</v>
      </c>
    </row>
    <row r="11" customFormat="false" ht="15" hidden="false" customHeight="false" outlineLevel="0" collapsed="false">
      <c r="A11" s="40" t="s">
        <v>186</v>
      </c>
      <c r="B11" s="47" t="s">
        <v>130</v>
      </c>
      <c r="C11" s="25" t="n">
        <f aca="false">-(BS!C25-BS!B25)</f>
        <v>1590</v>
      </c>
      <c r="D11" s="25" t="n">
        <f aca="false">-(BS!D25-BS!C25)</f>
        <v>2255</v>
      </c>
      <c r="E11" s="25" t="n">
        <f aca="false">-(BS!E25-BS!D25)</f>
        <v>253</v>
      </c>
      <c r="F11" s="25" t="n">
        <f aca="false">-(BS!F25-BS!E25)</f>
        <v>8387</v>
      </c>
      <c r="G11" s="25" t="n">
        <f aca="false">-(BS!G25-BS!F25)</f>
        <v>-3540</v>
      </c>
      <c r="H11" s="25" t="n">
        <f aca="false">-(BS!H25-BS!G25)</f>
        <v>-7372</v>
      </c>
      <c r="I11" s="25" t="n">
        <f aca="false">-(BS!I25-BS!H25)</f>
        <v>-1408</v>
      </c>
      <c r="J11" s="25" t="n">
        <f aca="false">-(BS!J25-BS!I25)</f>
        <v>2077</v>
      </c>
      <c r="K11" s="25" t="n">
        <f aca="false">-(BS!K25-BS!J25)</f>
        <v>-533</v>
      </c>
      <c r="L11" s="25" t="n">
        <f aca="false">-(BS!L25-BS!K25)</f>
        <v>-88.4799378082098</v>
      </c>
      <c r="M11" s="25" t="n">
        <f aca="false">-(BS!M25-BS!L25)</f>
        <v>454.59593685616</v>
      </c>
      <c r="N11" s="25" t="n">
        <f aca="false">-(BS!N25-BS!M25)</f>
        <v>532.489766690967</v>
      </c>
      <c r="O11" s="25" t="n">
        <f aca="false">-(BS!O25-BS!N25)</f>
        <v>-333.711538740885</v>
      </c>
      <c r="P11" s="25" t="n">
        <f aca="false">-(BS!P25-BS!O25)</f>
        <v>-360.408461840168</v>
      </c>
    </row>
    <row r="12" customFormat="false" ht="15" hidden="false" customHeight="false" outlineLevel="0" collapsed="false">
      <c r="A12" s="32" t="s">
        <v>187</v>
      </c>
      <c r="B12" s="49" t="s">
        <v>130</v>
      </c>
      <c r="C12" s="39" t="n">
        <f aca="false">C8+C9+C10+C11</f>
        <v>24735.7506746451</v>
      </c>
      <c r="D12" s="39" t="n">
        <f aca="false">D8+D9+D10+D11</f>
        <v>30691.6810384236</v>
      </c>
      <c r="E12" s="39" t="n">
        <f aca="false">E8+E9+E10+E11</f>
        <v>21301.9294641167</v>
      </c>
      <c r="F12" s="39" t="n">
        <f aca="false">F8+F9+F10+F11</f>
        <v>39884.2907221207</v>
      </c>
      <c r="G12" s="39" t="n">
        <f aca="false">G8+G9+G10+G11</f>
        <v>31947.2874223693</v>
      </c>
      <c r="H12" s="39" t="n">
        <f aca="false">H8+H9+H10+H11</f>
        <v>33700.2000632611</v>
      </c>
      <c r="I12" s="39" t="n">
        <f aca="false">I8+I9+I10+I11</f>
        <v>43274.775714954</v>
      </c>
      <c r="J12" s="39" t="n">
        <f aca="false">J8+J9+J10+J11</f>
        <v>45078.2527590271</v>
      </c>
      <c r="K12" s="39" t="n">
        <f aca="false">K8+K9+K10+K11</f>
        <v>40532.2384290012</v>
      </c>
      <c r="L12" s="39" t="n">
        <f aca="false">L8+L9+L10+L11</f>
        <v>45411.2309096918</v>
      </c>
      <c r="M12" s="39" t="n">
        <f aca="false">M8+M9+M10+M11</f>
        <v>50518.5634926062</v>
      </c>
      <c r="N12" s="39" t="n">
        <f aca="false">N8+N9+N10+N11</f>
        <v>56260.135615251</v>
      </c>
      <c r="O12" s="39" t="n">
        <f aca="false">O8+O9+O10+O11</f>
        <v>61195.5802972674</v>
      </c>
      <c r="P12" s="39" t="n">
        <f aca="false">P8+P9+P10+P11</f>
        <v>66091.2267210488</v>
      </c>
    </row>
    <row r="14" customFormat="false" ht="18" hidden="false" customHeight="true" outlineLevel="0" collapsed="false">
      <c r="A14" s="6" t="s">
        <v>188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customFormat="false" ht="15" hidden="false" customHeight="false" outlineLevel="0" collapsed="false">
      <c r="A15" s="40" t="s">
        <v>189</v>
      </c>
      <c r="L15" s="29" t="n">
        <v>1</v>
      </c>
      <c r="M15" s="29" t="n">
        <v>2</v>
      </c>
      <c r="N15" s="29" t="n">
        <v>3</v>
      </c>
      <c r="O15" s="29" t="n">
        <v>4</v>
      </c>
      <c r="P15" s="29" t="n">
        <v>5</v>
      </c>
    </row>
    <row r="16" customFormat="false" ht="15" hidden="false" customHeight="false" outlineLevel="0" collapsed="false">
      <c r="A16" s="40" t="s">
        <v>190</v>
      </c>
      <c r="L16" s="29" t="n">
        <f aca="false">L12</f>
        <v>45411.2309096918</v>
      </c>
      <c r="M16" s="29" t="n">
        <f aca="false">M12</f>
        <v>50518.5634926062</v>
      </c>
      <c r="N16" s="29" t="n">
        <f aca="false">N12</f>
        <v>56260.135615251</v>
      </c>
      <c r="O16" s="29" t="n">
        <f aca="false">O12</f>
        <v>61195.5802972674</v>
      </c>
      <c r="P16" s="29" t="n">
        <f aca="false">P12</f>
        <v>66091.2267210488</v>
      </c>
    </row>
    <row r="17" customFormat="false" ht="15" hidden="false" customHeight="false" outlineLevel="0" collapsed="false">
      <c r="A17" s="40" t="s">
        <v>191</v>
      </c>
      <c r="L17" s="41" t="n">
        <f aca="false">1/(1+Assumptions!$C$30)^L15</f>
        <v>0.888903155019615</v>
      </c>
      <c r="M17" s="41" t="n">
        <f aca="false">1/(1+Assumptions!$C$30)^M15</f>
        <v>0.790148819003826</v>
      </c>
      <c r="N17" s="41" t="n">
        <f aca="false">1/(1+Assumptions!$C$30)^N15</f>
        <v>0.702365778147523</v>
      </c>
      <c r="O17" s="41" t="n">
        <f aca="false">1/(1+Assumptions!$C$30)^O15</f>
        <v>0.62433515617314</v>
      </c>
      <c r="P17" s="41" t="n">
        <f aca="false">1/(1+Assumptions!$C$30)^P15</f>
        <v>0.554973490111969</v>
      </c>
    </row>
    <row r="18" customFormat="false" ht="15" hidden="false" customHeight="false" outlineLevel="0" collapsed="false">
      <c r="A18" s="32" t="s">
        <v>192</v>
      </c>
      <c r="L18" s="33" t="n">
        <f aca="false">L16*L17</f>
        <v>40366.1864289493</v>
      </c>
      <c r="M18" s="33" t="n">
        <f aca="false">M16*M17</f>
        <v>39917.1832814525</v>
      </c>
      <c r="N18" s="33" t="n">
        <f aca="false">N16*N17</f>
        <v>39515.1939300909</v>
      </c>
      <c r="O18" s="33" t="n">
        <f aca="false">O16*O17</f>
        <v>38206.5521820004</v>
      </c>
      <c r="P18" s="33" t="n">
        <f aca="false">P16*P17</f>
        <v>36678.8787591618</v>
      </c>
    </row>
    <row r="20" customFormat="false" ht="18" hidden="false" customHeight="true" outlineLevel="0" collapsed="false">
      <c r="A20" s="6" t="s">
        <v>193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customFormat="false" ht="15" hidden="false" customHeight="false" outlineLevel="0" collapsed="false">
      <c r="A21" s="40" t="s">
        <v>194</v>
      </c>
      <c r="C21" s="29" t="n">
        <f aca="false">P16</f>
        <v>66091.2267210488</v>
      </c>
    </row>
    <row r="22" customFormat="false" ht="15" hidden="false" customHeight="false" outlineLevel="0" collapsed="false">
      <c r="A22" s="40" t="s">
        <v>195</v>
      </c>
      <c r="C22" s="24" t="n">
        <f aca="false">Assumptions!$C$32</f>
        <v>0.05</v>
      </c>
    </row>
    <row r="23" customFormat="false" ht="15" hidden="false" customHeight="false" outlineLevel="0" collapsed="false">
      <c r="A23" s="40" t="s">
        <v>65</v>
      </c>
      <c r="C23" s="24" t="n">
        <f aca="false">Assumptions!$C$30</f>
        <v>0.124981944718076</v>
      </c>
    </row>
    <row r="24" customFormat="false" ht="15" hidden="false" customHeight="false" outlineLevel="0" collapsed="false">
      <c r="A24" s="32" t="s">
        <v>196</v>
      </c>
      <c r="C24" s="33" t="n">
        <f aca="false">C21*(1+C22)/(C23-C22)</f>
        <v>925499.97626791</v>
      </c>
    </row>
    <row r="25" customFormat="false" ht="15" hidden="false" customHeight="false" outlineLevel="0" collapsed="false">
      <c r="A25" s="40" t="s">
        <v>197</v>
      </c>
      <c r="C25" s="56" t="n">
        <f aca="false">P17</f>
        <v>0.554973490111969</v>
      </c>
    </row>
    <row r="26" customFormat="false" ht="15" hidden="false" customHeight="false" outlineLevel="0" collapsed="false">
      <c r="A26" s="32" t="s">
        <v>198</v>
      </c>
      <c r="C26" s="33" t="n">
        <f aca="false">C24*C25</f>
        <v>513627.951927946</v>
      </c>
    </row>
    <row r="28" customFormat="false" ht="18" hidden="false" customHeight="true" outlineLevel="0" collapsed="false">
      <c r="A28" s="6" t="s">
        <v>199</v>
      </c>
      <c r="B28" s="6"/>
      <c r="C28" s="6"/>
      <c r="D28" s="6"/>
      <c r="E28" s="6"/>
      <c r="F28" s="6"/>
    </row>
    <row r="29" customFormat="false" ht="15" hidden="false" customHeight="false" outlineLevel="0" collapsed="false">
      <c r="A29" s="40" t="s">
        <v>200</v>
      </c>
      <c r="C29" s="29" t="n">
        <f aca="false">SUM(L18:P18)</f>
        <v>194683.994581655</v>
      </c>
    </row>
    <row r="30" customFormat="false" ht="15" hidden="false" customHeight="false" outlineLevel="0" collapsed="false">
      <c r="A30" s="40" t="s">
        <v>201</v>
      </c>
      <c r="C30" s="29" t="n">
        <f aca="false">C26</f>
        <v>513627.951927946</v>
      </c>
    </row>
    <row r="31" customFormat="false" ht="15" hidden="false" customHeight="false" outlineLevel="0" collapsed="false">
      <c r="A31" s="32" t="s">
        <v>202</v>
      </c>
      <c r="C31" s="38" t="n">
        <f aca="false">C29+C30</f>
        <v>708311.946509601</v>
      </c>
    </row>
    <row r="32" customFormat="false" ht="15" hidden="false" customHeight="false" outlineLevel="0" collapsed="false">
      <c r="A32" s="40" t="s">
        <v>203</v>
      </c>
      <c r="C32" s="25" t="n">
        <f aca="false">-BS!K18</f>
        <v>-11283</v>
      </c>
    </row>
    <row r="33" customFormat="false" ht="15" hidden="false" customHeight="false" outlineLevel="0" collapsed="false">
      <c r="A33" s="40" t="s">
        <v>204</v>
      </c>
      <c r="C33" s="25" t="n">
        <f aca="false">BS!K11</f>
        <v>12908</v>
      </c>
    </row>
    <row r="34" customFormat="false" ht="15" hidden="false" customHeight="false" outlineLevel="0" collapsed="false">
      <c r="A34" s="40" t="s">
        <v>205</v>
      </c>
      <c r="C34" s="25" t="n">
        <f aca="false">BS!K8</f>
        <v>33988</v>
      </c>
    </row>
    <row r="35" customFormat="false" ht="15" hidden="false" customHeight="false" outlineLevel="0" collapsed="false">
      <c r="A35" s="32" t="s">
        <v>206</v>
      </c>
      <c r="C35" s="39" t="n">
        <f aca="false">C31+C32+C33+C34</f>
        <v>743924.946509601</v>
      </c>
    </row>
    <row r="36" customFormat="false" ht="15" hidden="false" customHeight="false" outlineLevel="0" collapsed="false">
      <c r="A36" s="40" t="s">
        <v>9</v>
      </c>
      <c r="C36" s="41" t="n">
        <f aca="false">Assumptions!$C$37</f>
        <v>361.81</v>
      </c>
    </row>
    <row r="37" customFormat="false" ht="15" hidden="false" customHeight="false" outlineLevel="0" collapsed="false">
      <c r="A37" s="32" t="s">
        <v>207</v>
      </c>
      <c r="C37" s="57" t="n">
        <f aca="false">C35/C36</f>
        <v>2056.12046795169</v>
      </c>
    </row>
    <row r="38" customFormat="false" ht="15" hidden="false" customHeight="false" outlineLevel="0" collapsed="false">
      <c r="A38" s="40" t="s">
        <v>8</v>
      </c>
      <c r="C38" s="46" t="n">
        <f aca="false">Assumptions!$C$35</f>
        <v>2093.5</v>
      </c>
    </row>
    <row r="39" customFormat="false" ht="15" hidden="false" customHeight="false" outlineLevel="0" collapsed="false">
      <c r="A39" s="32" t="s">
        <v>208</v>
      </c>
      <c r="C39" s="58" t="n">
        <f aca="false">C37/C38-1</f>
        <v>-0.0178550427744497</v>
      </c>
    </row>
    <row r="41" customFormat="false" ht="18" hidden="false" customHeight="true" outlineLevel="0" collapsed="false">
      <c r="A41" s="6" t="s">
        <v>209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customFormat="false" ht="15" hidden="false" customHeight="false" outlineLevel="0" collapsed="false">
      <c r="A42" s="59" t="s">
        <v>210</v>
      </c>
    </row>
    <row r="43" customFormat="false" ht="15" hidden="false" customHeight="false" outlineLevel="0" collapsed="false">
      <c r="C43" s="60" t="n">
        <f aca="false">$C$22+-0.01</f>
        <v>0.04</v>
      </c>
      <c r="D43" s="60" t="n">
        <f aca="false">$C$22+-0.005</f>
        <v>0.045</v>
      </c>
      <c r="E43" s="60" t="n">
        <f aca="false">$C$22+0</f>
        <v>0.05</v>
      </c>
      <c r="F43" s="60" t="n">
        <f aca="false">$C$22+0.005</f>
        <v>0.055</v>
      </c>
      <c r="G43" s="60" t="n">
        <f aca="false">$C$22+0.01</f>
        <v>0.06</v>
      </c>
    </row>
    <row r="44" customFormat="false" ht="15" hidden="false" customHeight="false" outlineLevel="0" collapsed="false">
      <c r="B44" s="60" t="n">
        <f aca="false">$C$23+-0.01</f>
        <v>0.114981944718076</v>
      </c>
      <c r="C44" s="43" t="n">
        <f aca="false">(SUMPRODUCT($L$16:$P$16,1/(1+$B44)^$L$15:$P$15)+($P$16*(1+C$43)/($B44-C$43))/(1+$B44)^$P$15+$C$32+$C$33+$C$34)/$C$36</f>
        <v>2121.21733479514</v>
      </c>
      <c r="D44" s="43" t="n">
        <f aca="false">(SUMPRODUCT($L$16:$P$16,1/(1+$B44)^$L$15:$P$15)+($P$16*(1+D$43)/($B44-D$43))/(1+$B44)^$P$15+$C$32+$C$33+$C$34)/$C$36</f>
        <v>2233.83828966364</v>
      </c>
      <c r="E44" s="43" t="n">
        <f aca="false">(SUMPRODUCT($L$16:$P$16,1/(1+$B44)^$L$15:$P$15)+($P$16*(1+E$43)/($B44-E$43))/(1+$B44)^$P$15+$C$32+$C$33+$C$34)/$C$36</f>
        <v>2363.79035940676</v>
      </c>
      <c r="F44" s="43" t="n">
        <f aca="false">(SUMPRODUCT($L$16:$P$16,1/(1+$B44)^$L$15:$P$15)+($P$16*(1+F$43)/($B44-F$43))/(1+$B44)^$P$15+$C$32+$C$33+$C$34)/$C$36</f>
        <v>2515.40762696131</v>
      </c>
      <c r="G44" s="43" t="n">
        <f aca="false">(SUMPRODUCT($L$16:$P$16,1/(1+$B44)^$L$15:$P$15)+($P$16*(1+G$43)/($B44-G$43))/(1+$B44)^$P$15+$C$32+$C$33+$C$34)/$C$36</f>
        <v>2694.60072296863</v>
      </c>
    </row>
    <row r="45" customFormat="false" ht="15" hidden="false" customHeight="false" outlineLevel="0" collapsed="false">
      <c r="B45" s="60" t="n">
        <f aca="false">$C$23+-0.005</f>
        <v>0.119981944718076</v>
      </c>
      <c r="C45" s="43" t="n">
        <f aca="false">(SUMPRODUCT($L$16:$P$16,1/(1+$B45)^$L$15:$P$15)+($P$16*(1+C$43)/($B45-C$43))/(1+$B45)^$P$15+$C$32+$C$33+$C$34)/$C$36</f>
        <v>1991.52450644071</v>
      </c>
      <c r="D45" s="43" t="n">
        <f aca="false">(SUMPRODUCT($L$16:$P$16,1/(1+$B45)^$L$15:$P$15)+($P$16*(1+D$43)/($B45-D$43))/(1+$B45)^$P$15+$C$32+$C$33+$C$34)/$C$36</f>
        <v>2088.31673869178</v>
      </c>
      <c r="E45" s="43" t="n">
        <f aca="false">(SUMPRODUCT($L$16:$P$16,1/(1+$B45)^$L$15:$P$15)+($P$16*(1+E$43)/($B45-E$43))/(1+$B45)^$P$15+$C$32+$C$33+$C$34)/$C$36</f>
        <v>2198.94000016631</v>
      </c>
      <c r="F45" s="43" t="n">
        <f aca="false">(SUMPRODUCT($L$16:$P$16,1/(1+$B45)^$L$15:$P$15)+($P$16*(1+F$43)/($B45-F$43))/(1+$B45)^$P$15+$C$32+$C$33+$C$34)/$C$36</f>
        <v>2326.5869536763</v>
      </c>
      <c r="G45" s="43" t="n">
        <f aca="false">(SUMPRODUCT($L$16:$P$16,1/(1+$B45)^$L$15:$P$15)+($P$16*(1+G$43)/($B45-G$43))/(1+$B45)^$P$15+$C$32+$C$33+$C$34)/$C$36</f>
        <v>2475.51480331427</v>
      </c>
    </row>
    <row r="46" customFormat="false" ht="15" hidden="false" customHeight="false" outlineLevel="0" collapsed="false">
      <c r="B46" s="60" t="n">
        <f aca="false">$C$23+0</f>
        <v>0.124981944718076</v>
      </c>
      <c r="C46" s="43" t="n">
        <f aca="false">(SUMPRODUCT($L$16:$P$16,1/(1+$B46)^$L$15:$P$15)+($P$16*(1+C$43)/($B46-C$43))/(1+$B46)^$P$15+$C$32+$C$33+$C$34)/$C$36</f>
        <v>1877.14328330893</v>
      </c>
      <c r="D46" s="43" t="n">
        <f aca="false">(SUMPRODUCT($L$16:$P$16,1/(1+$B46)^$L$15:$P$15)+($P$16*(1+D$43)/($B46-D$43))/(1+$B46)^$P$15+$C$32+$C$33+$C$34)/$C$36</f>
        <v>1961.03757602702</v>
      </c>
      <c r="E46" s="61" t="n">
        <f aca="false">(SUMPRODUCT($L$16:$P$16,1/(1+$B46)^$L$15:$P$15)+($P$16*(1+E$43)/($B46-E$43))/(1+$B46)^$P$15+$C$32+$C$33+$C$34)/$C$36</f>
        <v>2056.12046795169</v>
      </c>
      <c r="F46" s="43" t="n">
        <f aca="false">(SUMPRODUCT($L$16:$P$16,1/(1+$B46)^$L$15:$P$15)+($P$16*(1+F$43)/($B46-F$43))/(1+$B46)^$P$15+$C$32+$C$33+$C$34)/$C$36</f>
        <v>2164.79013462344</v>
      </c>
      <c r="G46" s="43" t="n">
        <f aca="false">(SUMPRODUCT($L$16:$P$16,1/(1+$B46)^$L$15:$P$15)+($P$16*(1+G$43)/($B46-G$43))/(1+$B46)^$P$15+$C$32+$C$33+$C$34)/$C$36</f>
        <v>2290.18285677517</v>
      </c>
    </row>
    <row r="47" customFormat="false" ht="15" hidden="false" customHeight="false" outlineLevel="0" collapsed="false">
      <c r="B47" s="60" t="n">
        <f aca="false">$C$23+0.005</f>
        <v>0.129981944718076</v>
      </c>
      <c r="C47" s="43" t="n">
        <f aca="false">(SUMPRODUCT($L$16:$P$16,1/(1+$B47)^$L$15:$P$15)+($P$16*(1+C$43)/($B47-C$43))/(1+$B47)^$P$15+$C$32+$C$33+$C$34)/$C$36</f>
        <v>1775.52016729264</v>
      </c>
      <c r="D47" s="43" t="n">
        <f aca="false">(SUMPRODUCT($L$16:$P$16,1/(1+$B47)^$L$15:$P$15)+($P$16*(1+D$43)/($B47-D$43))/(1+$B47)^$P$15+$C$32+$C$33+$C$34)/$C$36</f>
        <v>1848.77987710154</v>
      </c>
      <c r="E47" s="43" t="n">
        <f aca="false">(SUMPRODUCT($L$16:$P$16,1/(1+$B47)^$L$15:$P$15)+($P$16*(1+E$43)/($B47-E$43))/(1+$B47)^$P$15+$C$32+$C$33+$C$34)/$C$36</f>
        <v>1931.19911786048</v>
      </c>
      <c r="F47" s="43" t="n">
        <f aca="false">(SUMPRODUCT($L$16:$P$16,1/(1+$B47)^$L$15:$P$15)+($P$16*(1+F$43)/($B47-F$43))/(1+$B47)^$P$15+$C$32+$C$33+$C$34)/$C$36</f>
        <v>2024.61023687343</v>
      </c>
      <c r="G47" s="43" t="n">
        <f aca="false">(SUMPRODUCT($L$16:$P$16,1/(1+$B47)^$L$15:$P$15)+($P$16*(1+G$43)/($B47-G$43))/(1+$B47)^$P$15+$C$32+$C$33+$C$34)/$C$36</f>
        <v>2131.3692443152</v>
      </c>
    </row>
    <row r="48" customFormat="false" ht="15" hidden="false" customHeight="false" outlineLevel="0" collapsed="false">
      <c r="B48" s="60" t="n">
        <f aca="false">$C$23+0.01</f>
        <v>0.134981944718076</v>
      </c>
      <c r="C48" s="43" t="n">
        <f aca="false">(SUMPRODUCT($L$16:$P$16,1/(1+$B48)^$L$15:$P$15)+($P$16*(1+C$43)/($B48-C$43))/(1+$B48)^$P$15+$C$32+$C$33+$C$34)/$C$36</f>
        <v>1684.63936811685</v>
      </c>
      <c r="D48" s="43" t="n">
        <f aca="false">(SUMPRODUCT($L$16:$P$16,1/(1+$B48)^$L$15:$P$15)+($P$16*(1+D$43)/($B48-D$43))/(1+$B48)^$P$15+$C$32+$C$33+$C$34)/$C$36</f>
        <v>1749.03864746127</v>
      </c>
      <c r="E48" s="43" t="n">
        <f aca="false">(SUMPRODUCT($L$16:$P$16,1/(1+$B48)^$L$15:$P$15)+($P$16*(1+E$43)/($B48-E$43))/(1+$B48)^$P$15+$C$32+$C$33+$C$34)/$C$36</f>
        <v>1821.01592229145</v>
      </c>
      <c r="F48" s="43" t="n">
        <f aca="false">(SUMPRODUCT($L$16:$P$16,1/(1+$B48)^$L$15:$P$15)+($P$16*(1+F$43)/($B48-F$43))/(1+$B48)^$P$15+$C$32+$C$33+$C$34)/$C$36</f>
        <v>1901.99238751189</v>
      </c>
      <c r="G48" s="43" t="n">
        <f aca="false">(SUMPRODUCT($L$16:$P$16,1/(1+$B48)^$L$15:$P$15)+($P$16*(1+G$43)/($B48-G$43))/(1+$B48)^$P$15+$C$32+$C$33+$C$34)/$C$36</f>
        <v>1993.76831459278</v>
      </c>
    </row>
  </sheetData>
  <mergeCells count="5">
    <mergeCell ref="A4:P4"/>
    <mergeCell ref="A14:P14"/>
    <mergeCell ref="A20:P20"/>
    <mergeCell ref="A28:F28"/>
    <mergeCell ref="A41:P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6"/>
    <col collapsed="false" customWidth="true" hidden="false" outlineLevel="0" max="7" min="3" style="1" width="12"/>
  </cols>
  <sheetData>
    <row r="1" customFormat="false" ht="17.35" hidden="false" customHeight="false" outlineLevel="0" collapsed="false">
      <c r="A1" s="11" t="s">
        <v>211</v>
      </c>
    </row>
    <row r="2" customFormat="false" ht="15" hidden="false" customHeight="false" outlineLevel="0" collapsed="false">
      <c r="A2" s="31" t="s">
        <v>212</v>
      </c>
    </row>
    <row r="4" customFormat="false" ht="18" hidden="false" customHeight="true" outlineLevel="0" collapsed="false">
      <c r="A4" s="6" t="s">
        <v>213</v>
      </c>
      <c r="B4" s="6"/>
      <c r="C4" s="6"/>
      <c r="D4" s="6"/>
      <c r="E4" s="6"/>
      <c r="F4" s="6"/>
      <c r="G4" s="6"/>
    </row>
    <row r="5" customFormat="false" ht="15" hidden="false" customHeight="false" outlineLevel="0" collapsed="false">
      <c r="A5" s="62" t="s">
        <v>214</v>
      </c>
      <c r="B5" s="62" t="s">
        <v>215</v>
      </c>
      <c r="C5" s="62" t="s">
        <v>216</v>
      </c>
      <c r="D5" s="62" t="s">
        <v>217</v>
      </c>
      <c r="E5" s="62" t="s">
        <v>218</v>
      </c>
      <c r="F5" s="62" t="s">
        <v>219</v>
      </c>
    </row>
    <row r="6" customFormat="false" ht="15" hidden="false" customHeight="false" outlineLevel="0" collapsed="false">
      <c r="A6" s="40" t="s">
        <v>220</v>
      </c>
      <c r="B6" s="25" t="n">
        <f aca="false">Assumptions!C36</f>
        <v>757449.235</v>
      </c>
      <c r="C6" s="52" t="n">
        <f aca="false">Ratios!K33</f>
        <v>17.2579287620819</v>
      </c>
      <c r="D6" s="52" t="n">
        <f aca="false">Ratios!K38</f>
        <v>11.296729315727</v>
      </c>
      <c r="E6" s="52" t="n">
        <f aca="false">Ratios!K35</f>
        <v>7.95853794293174</v>
      </c>
      <c r="F6" s="15" t="n">
        <f aca="false">Ratios!K15</f>
        <v>0.489653260460603</v>
      </c>
    </row>
    <row r="7" customFormat="false" ht="15" hidden="false" customHeight="false" outlineLevel="0" collapsed="false">
      <c r="A7" s="40" t="s">
        <v>221</v>
      </c>
      <c r="B7" s="8" t="n">
        <v>636000</v>
      </c>
      <c r="C7" s="63" t="n">
        <v>18.3</v>
      </c>
      <c r="D7" s="63" t="n">
        <v>12.1</v>
      </c>
      <c r="E7" s="63" t="n">
        <v>6</v>
      </c>
      <c r="F7" s="64" t="n">
        <v>0.327</v>
      </c>
    </row>
    <row r="8" customFormat="false" ht="15" hidden="false" customHeight="false" outlineLevel="0" collapsed="false">
      <c r="A8" s="40" t="s">
        <v>222</v>
      </c>
      <c r="B8" s="8" t="n">
        <v>442000</v>
      </c>
      <c r="C8" s="63" t="n">
        <v>22.5</v>
      </c>
      <c r="D8" s="63" t="n">
        <v>13.8</v>
      </c>
      <c r="E8" s="63" t="n">
        <v>5.4</v>
      </c>
      <c r="F8" s="64" t="n">
        <v>0.24</v>
      </c>
    </row>
    <row r="9" customFormat="false" ht="15" hidden="false" customHeight="false" outlineLevel="0" collapsed="false">
      <c r="A9" s="40" t="s">
        <v>223</v>
      </c>
      <c r="B9" s="8" t="n">
        <v>258000</v>
      </c>
      <c r="C9" s="63" t="n">
        <v>21</v>
      </c>
      <c r="D9" s="63" t="n">
        <v>11.5</v>
      </c>
      <c r="E9" s="63" t="n">
        <v>3.3</v>
      </c>
      <c r="F9" s="64" t="n">
        <v>0.16</v>
      </c>
    </row>
    <row r="10" customFormat="false" ht="15" hidden="false" customHeight="false" outlineLevel="0" collapsed="false">
      <c r="A10" s="32" t="s">
        <v>224</v>
      </c>
      <c r="B10" s="33" t="n">
        <f aca="false">AVERAGE(B7:B9)</f>
        <v>445333.333333333</v>
      </c>
      <c r="C10" s="54" t="n">
        <f aca="false">AVERAGE(C7:C9)</f>
        <v>20.6</v>
      </c>
      <c r="D10" s="54" t="n">
        <f aca="false">AVERAGE(D7:D9)</f>
        <v>12.4666666666667</v>
      </c>
      <c r="E10" s="54" t="n">
        <f aca="false">AVERAGE(E7:E9)</f>
        <v>4.9</v>
      </c>
      <c r="F10" s="58" t="n">
        <f aca="false">AVERAGE(F7:F9)</f>
        <v>0.242333333333333</v>
      </c>
    </row>
    <row r="12" customFormat="false" ht="18" hidden="false" customHeight="true" outlineLevel="0" collapsed="false">
      <c r="A12" s="6" t="s">
        <v>225</v>
      </c>
      <c r="B12" s="6"/>
      <c r="C12" s="6"/>
      <c r="D12" s="6"/>
      <c r="E12" s="6"/>
      <c r="F12" s="6"/>
      <c r="G12" s="6"/>
    </row>
    <row r="13" customFormat="false" ht="15" hidden="false" customHeight="false" outlineLevel="0" collapsed="false">
      <c r="A13" s="65" t="s">
        <v>226</v>
      </c>
      <c r="B13" s="65" t="s">
        <v>227</v>
      </c>
      <c r="C13" s="65" t="s">
        <v>228</v>
      </c>
      <c r="D13" s="65" t="s">
        <v>229</v>
      </c>
    </row>
    <row r="14" customFormat="false" ht="15" hidden="false" customHeight="false" outlineLevel="0" collapsed="false">
      <c r="A14" s="40" t="s">
        <v>230</v>
      </c>
      <c r="B14" s="66" t="n">
        <f aca="false">C10</f>
        <v>20.6</v>
      </c>
      <c r="C14" s="46" t="n">
        <f aca="false">IS!K31</f>
        <v>136.685000414582</v>
      </c>
      <c r="D14" s="42" t="n">
        <f aca="false">B14*C14</f>
        <v>2815.71100854039</v>
      </c>
    </row>
    <row r="15" customFormat="false" ht="15" hidden="false" customHeight="false" outlineLevel="0" collapsed="false">
      <c r="A15" s="40" t="s">
        <v>231</v>
      </c>
      <c r="B15" s="66" t="n">
        <f aca="false">D10</f>
        <v>12.4666666666667</v>
      </c>
      <c r="C15" s="25" t="n">
        <f aca="false">IS!K15</f>
        <v>72398</v>
      </c>
      <c r="D15" s="42" t="n">
        <f aca="false">(B15*C15-BS!K18+BS!K11+BS!K8)/Assumptions!$C$37</f>
        <v>2593.00387864717</v>
      </c>
    </row>
    <row r="17" customFormat="false" ht="15" hidden="false" customHeight="false" outlineLevel="0" collapsed="false">
      <c r="A17" s="40" t="s">
        <v>8</v>
      </c>
      <c r="D17" s="46" t="n">
        <f aca="false">Assumptions!$C$35</f>
        <v>2093.5</v>
      </c>
    </row>
    <row r="18" customFormat="false" ht="15" hidden="false" customHeight="false" outlineLevel="0" collapsed="false">
      <c r="A18" s="40" t="s">
        <v>232</v>
      </c>
      <c r="D18" s="46" t="n">
        <f aca="false">DCF!C37</f>
        <v>2056.12046795169</v>
      </c>
    </row>
  </sheetData>
  <mergeCells count="2">
    <mergeCell ref="A4:G4"/>
    <mergeCell ref="A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16" min="2" style="1" width="10"/>
  </cols>
  <sheetData>
    <row r="1" customFormat="false" ht="19.7" hidden="false" customHeight="false" outlineLevel="0" collapsed="false">
      <c r="A1" s="67" t="s">
        <v>233</v>
      </c>
      <c r="B1" s="67"/>
      <c r="C1" s="67"/>
      <c r="D1" s="67"/>
      <c r="E1" s="67"/>
      <c r="F1" s="67"/>
      <c r="G1" s="67"/>
      <c r="H1" s="67"/>
    </row>
    <row r="2" customFormat="false" ht="15" hidden="false" customHeight="false" outlineLevel="0" collapsed="false">
      <c r="A2" s="68" t="s">
        <v>234</v>
      </c>
      <c r="B2" s="68"/>
      <c r="C2" s="68"/>
      <c r="D2" s="68"/>
      <c r="E2" s="68"/>
      <c r="F2" s="68"/>
      <c r="G2" s="68"/>
      <c r="H2" s="68"/>
    </row>
    <row r="4" customFormat="false" ht="18" hidden="false" customHeight="true" outlineLevel="0" collapsed="false">
      <c r="A4" s="6" t="s">
        <v>235</v>
      </c>
      <c r="B4" s="6"/>
      <c r="C4" s="6"/>
      <c r="D4" s="6"/>
      <c r="E4" s="6"/>
      <c r="F4" s="6"/>
    </row>
    <row r="5" customFormat="false" ht="15" hidden="false" customHeight="false" outlineLevel="0" collapsed="false">
      <c r="A5" s="7" t="s">
        <v>236</v>
      </c>
      <c r="C5" s="46" t="n">
        <f aca="false">Assumptions!$C$35</f>
        <v>2093.5</v>
      </c>
    </row>
    <row r="6" customFormat="false" ht="15" hidden="false" customHeight="false" outlineLevel="0" collapsed="false">
      <c r="A6" s="7" t="s">
        <v>237</v>
      </c>
      <c r="C6" s="46" t="n">
        <f aca="false">DCF!C37</f>
        <v>2056.12046795169</v>
      </c>
    </row>
    <row r="7" customFormat="false" ht="15" hidden="false" customHeight="false" outlineLevel="0" collapsed="false">
      <c r="A7" s="7" t="s">
        <v>238</v>
      </c>
      <c r="C7" s="46" t="n">
        <f aca="false">Comps!D14</f>
        <v>2815.71100854039</v>
      </c>
    </row>
    <row r="8" customFormat="false" ht="15" hidden="false" customHeight="false" outlineLevel="0" collapsed="false">
      <c r="A8" s="7" t="s">
        <v>239</v>
      </c>
      <c r="C8" s="46" t="n">
        <f aca="false">Comps!D15</f>
        <v>2593.00387864717</v>
      </c>
    </row>
    <row r="9" customFormat="false" ht="15" hidden="false" customHeight="false" outlineLevel="0" collapsed="false">
      <c r="A9" s="22" t="s">
        <v>240</v>
      </c>
      <c r="C9" s="69" t="n">
        <f aca="false">C6/C5-1</f>
        <v>-0.0178550427744497</v>
      </c>
    </row>
    <row r="11" customFormat="false" ht="18" hidden="false" customHeight="true" outlineLevel="0" collapsed="false">
      <c r="A11" s="6" t="s">
        <v>241</v>
      </c>
      <c r="B11" s="6"/>
      <c r="C11" s="6"/>
      <c r="D11" s="6"/>
      <c r="E11" s="6"/>
      <c r="F11" s="6"/>
    </row>
    <row r="12" customFormat="false" ht="15" hidden="false" customHeight="false" outlineLevel="0" collapsed="false">
      <c r="A12" s="32" t="s">
        <v>242</v>
      </c>
      <c r="B12" s="70" t="s">
        <v>243</v>
      </c>
      <c r="C12" s="70" t="s">
        <v>41</v>
      </c>
    </row>
    <row r="13" customFormat="false" ht="15" hidden="false" customHeight="false" outlineLevel="0" collapsed="false">
      <c r="A13" s="7" t="s">
        <v>244</v>
      </c>
      <c r="B13" s="25" t="n">
        <f aca="false">IS!K6</f>
        <v>267021</v>
      </c>
      <c r="C13" s="25" t="n">
        <f aca="false">IS!P6</f>
        <v>386909.084034288</v>
      </c>
    </row>
    <row r="14" customFormat="false" ht="15" hidden="false" customHeight="false" outlineLevel="0" collapsed="false">
      <c r="A14" s="7" t="s">
        <v>245</v>
      </c>
      <c r="B14" s="25" t="n">
        <f aca="false">IS!K15</f>
        <v>72398</v>
      </c>
      <c r="C14" s="25" t="n">
        <f aca="false">IS!P15</f>
        <v>106399.998109429</v>
      </c>
    </row>
    <row r="15" customFormat="false" ht="15" hidden="false" customHeight="false" outlineLevel="0" collapsed="false">
      <c r="A15" s="7" t="s">
        <v>157</v>
      </c>
      <c r="B15" s="15" t="n">
        <f aca="false">IS!K16</f>
        <v>0.271132233045341</v>
      </c>
      <c r="C15" s="15" t="n">
        <f aca="false">IS!P16</f>
        <v>0.275</v>
      </c>
    </row>
    <row r="16" customFormat="false" ht="15" hidden="false" customHeight="false" outlineLevel="0" collapsed="false">
      <c r="A16" s="7" t="s">
        <v>246</v>
      </c>
      <c r="B16" s="25" t="n">
        <f aca="false">IS!K24</f>
        <v>49454</v>
      </c>
      <c r="C16" s="25" t="n">
        <f aca="false">IS!P24</f>
        <v>75541.8579817206</v>
      </c>
    </row>
    <row r="17" customFormat="false" ht="15" hidden="false" customHeight="false" outlineLevel="0" collapsed="false">
      <c r="A17" s="7" t="s">
        <v>247</v>
      </c>
      <c r="B17" s="46" t="n">
        <f aca="false">IS!K31</f>
        <v>136.685000414582</v>
      </c>
      <c r="C17" s="46" t="n">
        <f aca="false">IS!P31</f>
        <v>208.788750951385</v>
      </c>
    </row>
    <row r="18" customFormat="false" ht="15" hidden="false" customHeight="false" outlineLevel="0" collapsed="false">
      <c r="A18" s="7" t="s">
        <v>219</v>
      </c>
      <c r="B18" s="15" t="n">
        <f aca="false">Ratios!K15</f>
        <v>0.489653260460603</v>
      </c>
      <c r="C18" s="15" t="n">
        <f aca="false">Ratios!P15</f>
        <v>0.460787378949591</v>
      </c>
    </row>
    <row r="19" customFormat="false" ht="15" hidden="false" customHeight="false" outlineLevel="0" collapsed="false">
      <c r="A19" s="22" t="s">
        <v>248</v>
      </c>
      <c r="C19" s="58" t="n">
        <f aca="false">(IS!P6/IS!K6)^(1/5)-1</f>
        <v>0.0769925563597318</v>
      </c>
    </row>
    <row r="21" customFormat="false" ht="18" hidden="false" customHeight="true" outlineLevel="0" collapsed="false">
      <c r="A21" s="6" t="s">
        <v>249</v>
      </c>
      <c r="B21" s="6"/>
      <c r="C21" s="6"/>
      <c r="D21" s="6"/>
      <c r="E21" s="6"/>
      <c r="F21" s="6"/>
    </row>
    <row r="22" customFormat="false" ht="15" hidden="false" customHeight="false" outlineLevel="0" collapsed="false">
      <c r="A22" s="13" t="s">
        <v>250</v>
      </c>
    </row>
  </sheetData>
  <mergeCells count="5">
    <mergeCell ref="A1:H1"/>
    <mergeCell ref="A2:H2"/>
    <mergeCell ref="A4:F4"/>
    <mergeCell ref="A11:F11"/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2026-07-06T10:28:13Z</dcterms:created>
  <dc:creator>openpyxl</dc:creator>
  <dc:description/>
  <dc:language>en-US</dc:language>
  <cp:lastModifiedBy/>
  <dcterms:modified xsi:type="dcterms:W3CDTF">2026-07-06T17:31:05Z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