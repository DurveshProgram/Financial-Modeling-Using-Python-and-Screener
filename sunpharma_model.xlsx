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ver" sheetId="1" state="visible" r:id="rId1"/>
    <sheet name="Assumptions" sheetId="2" state="visible" r:id="rId2"/>
    <sheet name="IS" sheetId="3" state="visible" r:id="rId3"/>
    <sheet name="BS" sheetId="4" state="visible" r:id="rId4"/>
    <sheet name="CF" sheetId="5" state="visible" r:id="rId5"/>
    <sheet name="Ratios" sheetId="6" state="visible" r:id="rId6"/>
    <sheet name="DCF" sheetId="7" state="visible" r:id="rId7"/>
    <sheet name="Comps" sheetId="8" state="visible" r:id="rId8"/>
    <sheet name="Dashboard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\-"/>
    <numFmt numFmtId="165" formatCode="0.0%;\(0.0%\);\-"/>
    <numFmt numFmtId="166" formatCode="#,##0.0;\(#,##0.0\);\-"/>
    <numFmt numFmtId="167" formatCode="0.00%;\(0.00%\);\-"/>
    <numFmt numFmtId="168" formatCode="#,##0.00;\(#,##0.00\);\-"/>
    <numFmt numFmtId="169" formatCode="\₹#,##0.00;&quot;(₹&quot;#,##0.00\);\-"/>
    <numFmt numFmtId="170" formatCode="0.00\x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20"/>
    </font>
    <font>
      <name val="Arial"/>
      <charset val="1"/>
      <family val="0"/>
      <i val="1"/>
      <color rgb="FF595959"/>
      <sz val="13"/>
    </font>
    <font>
      <name val="Arial"/>
      <charset val="1"/>
      <family val="0"/>
      <color rgb="FF80808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sz val="10"/>
    </font>
    <font>
      <name val="Arial"/>
      <family val="2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i val="1"/>
      <color rgb="FF000000"/>
      <sz val="10"/>
    </font>
    <font>
      <name val="Arial"/>
      <charset val="1"/>
      <family val="0"/>
      <i val="1"/>
      <color rgb="FFA6A6A6"/>
      <sz val="8"/>
    </font>
    <font>
      <name val="Arial"/>
      <charset val="1"/>
      <family val="0"/>
      <i val="1"/>
      <color rgb="FFC00000"/>
      <sz val="9"/>
    </font>
    <font>
      <name val="Arial"/>
      <charset val="1"/>
      <family val="0"/>
      <i val="1"/>
      <color rgb="FFA6A6A6"/>
      <sz val="9"/>
    </font>
    <font>
      <name val="Arial"/>
      <charset val="1"/>
      <family val="0"/>
      <i val="1"/>
      <color rgb="FF000000"/>
      <sz val="9"/>
    </font>
    <font>
      <name val="Arial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olor rgb="000000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FF2E5395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bottom" indent="1"/>
    </xf>
    <xf numFmtId="164" fontId="9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 vertical="bottom"/>
    </xf>
    <xf numFmtId="49" fontId="13" fillId="3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right" vertical="bottom"/>
    </xf>
    <xf numFmtId="165" fontId="9" fillId="4" borderId="0" applyAlignment="1" pivotButton="0" quotePrefix="0" xfId="0">
      <alignment horizontal="right" vertical="bottom"/>
    </xf>
    <xf numFmtId="166" fontId="14" fillId="0" borderId="0" applyAlignment="1" pivotButton="0" quotePrefix="0" xfId="0">
      <alignment horizontal="right" vertical="bottom"/>
    </xf>
    <xf numFmtId="166" fontId="9" fillId="4" borderId="0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167" fontId="9" fillId="4" borderId="0" applyAlignment="1" pivotButton="0" quotePrefix="0" xfId="0">
      <alignment horizontal="right" vertical="bottom"/>
    </xf>
    <xf numFmtId="168" fontId="9" fillId="4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 indent="1"/>
    </xf>
    <xf numFmtId="167" fontId="16" fillId="0" borderId="1" applyAlignment="1" pivotButton="0" quotePrefix="0" xfId="0">
      <alignment horizontal="right" vertical="bottom"/>
    </xf>
    <xf numFmtId="167" fontId="14" fillId="0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67" fontId="16" fillId="5" borderId="1" applyAlignment="1" pivotButton="0" quotePrefix="0" xfId="0">
      <alignment horizontal="right" vertical="bottom"/>
    </xf>
    <xf numFmtId="169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4" fontId="16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5" fontId="10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4" fontId="16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bottom"/>
    </xf>
    <xf numFmtId="168" fontId="14" fillId="0" borderId="0" applyAlignment="1" pivotButton="0" quotePrefix="0" xfId="0">
      <alignment horizontal="right" vertical="bottom"/>
    </xf>
    <xf numFmtId="169" fontId="16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164" fontId="22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right" vertical="bottom"/>
    </xf>
    <xf numFmtId="0" fontId="23" fillId="0" borderId="1" applyAlignment="1" pivotButton="0" quotePrefix="0" xfId="0">
      <alignment horizontal="right" vertical="bottom"/>
    </xf>
    <xf numFmtId="0" fontId="23" fillId="0" borderId="2" applyAlignment="1" pivotButton="0" quotePrefix="0" xfId="0">
      <alignment horizontal="right" vertical="bottom"/>
    </xf>
    <xf numFmtId="165" fontId="14" fillId="0" borderId="1" applyAlignment="1" pivotButton="0" quotePrefix="0" xfId="0">
      <alignment horizontal="right" vertical="bottom"/>
    </xf>
    <xf numFmtId="170" fontId="14" fillId="0" borderId="1" applyAlignment="1" pivotButton="0" quotePrefix="0" xfId="0">
      <alignment horizontal="right" vertical="bottom"/>
    </xf>
    <xf numFmtId="170" fontId="14" fillId="0" borderId="0" applyAlignment="1" pivotButton="0" quotePrefix="0" xfId="0">
      <alignment horizontal="right" vertical="bottom"/>
    </xf>
    <xf numFmtId="170" fontId="16" fillId="0" borderId="1" applyAlignment="1" pivotButton="0" quotePrefix="0" xfId="0">
      <alignment horizontal="right" vertical="bottom"/>
    </xf>
    <xf numFmtId="170" fontId="16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16" fillId="5" borderId="0" applyAlignment="1" pivotButton="0" quotePrefix="0" xfId="0">
      <alignment horizontal="right" vertical="bottom"/>
    </xf>
    <xf numFmtId="165" fontId="16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bottom"/>
    </xf>
    <xf numFmtId="167" fontId="16" fillId="6" borderId="0" applyAlignment="1" pivotButton="0" quotePrefix="0" xfId="0">
      <alignment horizontal="right" vertical="bottom"/>
    </xf>
    <xf numFmtId="169" fontId="15" fillId="4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/>
    </xf>
    <xf numFmtId="170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left" vertical="bottom"/>
    </xf>
    <xf numFmtId="170" fontId="7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left" vertical="bottom"/>
    </xf>
    <xf numFmtId="165" fontId="16" fillId="5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bottom" indent="1"/>
    </xf>
    <xf numFmtId="164" fontId="9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12" fillId="0" borderId="0" applyAlignment="1" pivotButton="0" quotePrefix="0" xfId="0">
      <alignment horizontal="left" vertical="bottom"/>
    </xf>
    <xf numFmtId="49" fontId="13" fillId="3" borderId="0" applyAlignment="1" pivotButton="0" quotePrefix="0" xfId="0">
      <alignment horizontal="center" vertical="bottom"/>
    </xf>
    <xf numFmtId="165" fontId="14" fillId="0" borderId="0" applyAlignment="1" pivotButton="0" quotePrefix="0" xfId="0">
      <alignment horizontal="right" vertical="bottom"/>
    </xf>
    <xf numFmtId="165" fontId="9" fillId="4" borderId="0" applyAlignment="1" pivotButton="0" quotePrefix="0" xfId="0">
      <alignment horizontal="right" vertical="bottom"/>
    </xf>
    <xf numFmtId="166" fontId="14" fillId="0" borderId="0" applyAlignment="1" pivotButton="0" quotePrefix="0" xfId="0">
      <alignment horizontal="right" vertical="bottom"/>
    </xf>
    <xf numFmtId="166" fontId="9" fillId="4" borderId="0" applyAlignment="1" pivotButton="0" quotePrefix="0" xfId="0">
      <alignment horizontal="right" vertical="bottom"/>
    </xf>
    <xf numFmtId="0" fontId="0" fillId="0" borderId="1" applyAlignment="1" pivotButton="0" quotePrefix="0" xfId="0">
      <alignment horizontal="general" vertical="bottom"/>
    </xf>
    <xf numFmtId="167" fontId="9" fillId="4" borderId="0" applyAlignment="1" pivotButton="0" quotePrefix="0" xfId="0">
      <alignment horizontal="right" vertical="bottom"/>
    </xf>
    <xf numFmtId="168" fontId="9" fillId="4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left" vertical="bottom" indent="1"/>
    </xf>
    <xf numFmtId="167" fontId="16" fillId="0" borderId="1" applyAlignment="1" pivotButton="0" quotePrefix="0" xfId="0">
      <alignment horizontal="right" vertical="bottom"/>
    </xf>
    <xf numFmtId="167" fontId="14" fillId="0" borderId="0" applyAlignment="1" pivotButton="0" quotePrefix="0" xfId="0">
      <alignment horizontal="right" vertical="bottom"/>
    </xf>
    <xf numFmtId="164" fontId="14" fillId="0" borderId="0" applyAlignment="1" pivotButton="0" quotePrefix="0" xfId="0">
      <alignment horizontal="right" vertical="bottom"/>
    </xf>
    <xf numFmtId="165" fontId="7" fillId="0" borderId="0" applyAlignment="1" pivotButton="0" quotePrefix="0" xfId="0">
      <alignment horizontal="right" vertical="bottom"/>
    </xf>
    <xf numFmtId="167" fontId="16" fillId="5" borderId="1" applyAlignment="1" pivotButton="0" quotePrefix="0" xfId="0">
      <alignment horizontal="right" vertical="bottom"/>
    </xf>
    <xf numFmtId="169" fontId="9" fillId="0" borderId="0" applyAlignment="1" pivotButton="0" quotePrefix="0" xfId="0">
      <alignment horizontal="right" vertical="bottom"/>
    </xf>
    <xf numFmtId="164" fontId="7" fillId="0" borderId="0" applyAlignment="1" pivotButton="0" quotePrefix="0" xfId="0">
      <alignment horizontal="right" vertical="bottom"/>
    </xf>
    <xf numFmtId="168" fontId="9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left" vertical="bottom"/>
    </xf>
    <xf numFmtId="0" fontId="15" fillId="0" borderId="0" applyAlignment="1" pivotButton="0" quotePrefix="0" xfId="0">
      <alignment horizontal="left" vertical="bottom"/>
    </xf>
    <xf numFmtId="164" fontId="16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 indent="1"/>
    </xf>
    <xf numFmtId="165" fontId="10" fillId="0" borderId="0" applyAlignment="1" pivotButton="0" quotePrefix="0" xfId="0">
      <alignment horizontal="right" vertical="bottom"/>
    </xf>
    <xf numFmtId="0" fontId="20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left" vertical="bottom"/>
    </xf>
    <xf numFmtId="164" fontId="16" fillId="0" borderId="1" applyAlignment="1" pivotButton="0" quotePrefix="0" xfId="0">
      <alignment horizontal="right" vertical="bottom"/>
    </xf>
    <xf numFmtId="164" fontId="16" fillId="0" borderId="2" applyAlignment="1" pivotButton="0" quotePrefix="0" xfId="0">
      <alignment horizontal="right" vertical="bottom"/>
    </xf>
    <xf numFmtId="168" fontId="14" fillId="0" borderId="0" applyAlignment="1" pivotButton="0" quotePrefix="0" xfId="0">
      <alignment horizontal="right" vertical="bottom"/>
    </xf>
    <xf numFmtId="169" fontId="16" fillId="0" borderId="0" applyAlignment="1" pivotButton="0" quotePrefix="0" xfId="0">
      <alignment horizontal="right" vertical="bottom"/>
    </xf>
    <xf numFmtId="169" fontId="7" fillId="0" borderId="0" applyAlignment="1" pivotButton="0" quotePrefix="0" xfId="0">
      <alignment horizontal="right" vertical="bottom"/>
    </xf>
    <xf numFmtId="0" fontId="19" fillId="0" borderId="0" applyAlignment="1" pivotButton="0" quotePrefix="0" xfId="0">
      <alignment horizontal="left" vertical="bottom"/>
    </xf>
    <xf numFmtId="164" fontId="22" fillId="0" borderId="0" applyAlignment="1" pivotButton="0" quotePrefix="0" xfId="0">
      <alignment horizontal="right" vertical="bottom"/>
    </xf>
    <xf numFmtId="169" fontId="14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right" vertical="bottom"/>
    </xf>
    <xf numFmtId="0" fontId="23" fillId="0" borderId="1" applyAlignment="1" pivotButton="0" quotePrefix="0" xfId="0">
      <alignment horizontal="right" vertical="bottom"/>
    </xf>
    <xf numFmtId="0" fontId="23" fillId="0" borderId="2" applyAlignment="1" pivotButton="0" quotePrefix="0" xfId="0">
      <alignment horizontal="right" vertical="bottom"/>
    </xf>
    <xf numFmtId="165" fontId="14" fillId="0" borderId="1" applyAlignment="1" pivotButton="0" quotePrefix="0" xfId="0">
      <alignment horizontal="right" vertical="bottom"/>
    </xf>
    <xf numFmtId="170" fontId="14" fillId="0" borderId="1" applyAlignment="1" pivotButton="0" quotePrefix="0" xfId="0">
      <alignment horizontal="right" vertical="bottom"/>
    </xf>
    <xf numFmtId="170" fontId="14" fillId="0" borderId="0" applyAlignment="1" pivotButton="0" quotePrefix="0" xfId="0">
      <alignment horizontal="right" vertical="bottom"/>
    </xf>
    <xf numFmtId="170" fontId="16" fillId="0" borderId="1" applyAlignment="1" pivotButton="0" quotePrefix="0" xfId="0">
      <alignment horizontal="right" vertical="bottom"/>
    </xf>
    <xf numFmtId="170" fontId="16" fillId="0" borderId="0" applyAlignment="1" pivotButton="0" quotePrefix="0" xfId="0">
      <alignment horizontal="right" vertical="bottom"/>
    </xf>
    <xf numFmtId="167" fontId="7" fillId="0" borderId="0" applyAlignment="1" pivotButton="0" quotePrefix="0" xfId="0">
      <alignment horizontal="right" vertical="bottom"/>
    </xf>
    <xf numFmtId="168" fontId="7" fillId="0" borderId="0" applyAlignment="1" pivotButton="0" quotePrefix="0" xfId="0">
      <alignment horizontal="right" vertical="bottom"/>
    </xf>
    <xf numFmtId="169" fontId="16" fillId="5" borderId="0" applyAlignment="1" pivotButton="0" quotePrefix="0" xfId="0">
      <alignment horizontal="right" vertical="bottom"/>
    </xf>
    <xf numFmtId="165" fontId="16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horizontal="left" vertical="bottom"/>
    </xf>
    <xf numFmtId="167" fontId="16" fillId="6" borderId="0" applyAlignment="1" pivotButton="0" quotePrefix="0" xfId="0">
      <alignment horizontal="right" vertical="bottom"/>
    </xf>
    <xf numFmtId="169" fontId="15" fillId="4" borderId="0" applyAlignment="1" pivotButton="0" quotePrefix="0" xfId="0">
      <alignment horizontal="right" vertical="bottom"/>
    </xf>
    <xf numFmtId="0" fontId="13" fillId="3" borderId="0" applyAlignment="1" pivotButton="0" quotePrefix="0" xfId="0">
      <alignment horizontal="center" vertical="bottom"/>
    </xf>
    <xf numFmtId="170" fontId="9" fillId="0" borderId="0" applyAlignment="1" pivotButton="0" quotePrefix="0" xfId="0">
      <alignment horizontal="right" vertical="bottom"/>
    </xf>
    <xf numFmtId="165" fontId="9" fillId="0" borderId="0" applyAlignment="1" pivotButton="0" quotePrefix="0" xfId="0">
      <alignment horizontal="right" vertical="bottom"/>
    </xf>
    <xf numFmtId="0" fontId="16" fillId="0" borderId="0" applyAlignment="1" pivotButton="0" quotePrefix="0" xfId="0">
      <alignment horizontal="left" vertical="bottom"/>
    </xf>
    <xf numFmtId="170" fontId="7" fillId="0" borderId="0" applyAlignment="1" pivotButton="0" quotePrefix="0" xfId="0">
      <alignment horizontal="right" vertical="bottom"/>
    </xf>
    <xf numFmtId="0" fontId="25" fillId="0" borderId="0" applyAlignment="1" pivotButton="0" quotePrefix="0" xfId="0">
      <alignment horizontal="left" vertical="bottom"/>
    </xf>
    <xf numFmtId="165" fontId="16" fillId="5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center" vertical="bottom"/>
    </xf>
    <xf numFmtId="165" fontId="30" fillId="4" borderId="0" applyAlignment="1" pivotButton="0" quotePrefix="0" xfId="0">
      <alignment horizontal="right" vertical="bottom"/>
    </xf>
    <xf numFmtId="166" fontId="30" fillId="4" borderId="0" applyAlignment="1" pivotButton="0" quotePrefix="0" xfId="0">
      <alignment horizontal="right" vertical="bottom"/>
    </xf>
    <xf numFmtId="167" fontId="29" fillId="4" borderId="0" applyAlignment="1" pivotButton="0" quotePrefix="0" xfId="0">
      <alignment horizontal="right" vertical="bottom"/>
    </xf>
    <xf numFmtId="168" fontId="29" fillId="4" borderId="0" applyAlignment="1" pivotButton="0" quotePrefix="0" xfId="0">
      <alignment horizontal="right" vertical="bottom"/>
    </xf>
    <xf numFmtId="169" fontId="29" fillId="0" borderId="0" applyAlignment="1" pivotButton="0" quotePrefix="0" xfId="0">
      <alignment horizontal="right" vertical="bottom"/>
    </xf>
    <xf numFmtId="168" fontId="29" fillId="0" borderId="0" applyAlignment="1" pivotButton="0" quotePrefix="0" xfId="0">
      <alignment horizontal="right" vertical="bottom"/>
    </xf>
    <xf numFmtId="164" fontId="29" fillId="0" borderId="0" applyAlignment="1" pivotButton="0" quotePrefix="0" xfId="0">
      <alignment horizontal="right" vertical="bottom"/>
    </xf>
    <xf numFmtId="170" fontId="29" fillId="0" borderId="0" applyAlignment="1" pivotButton="0" quotePrefix="0" xfId="0">
      <alignment horizontal="right" vertical="bottom"/>
    </xf>
    <xf numFmtId="165" fontId="29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6A6A6"/>
      <rgbColor rgb="FF808080"/>
      <rgbColor rgb="FF9999FF"/>
      <rgbColor rgb="FFAA433F"/>
      <rgbColor rgb="FFF9F9F9"/>
      <rgbColor rgb="FFDDEBF7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&amp; EBITDA (₹ Cr)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"Revenue"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IS!$B$6:$P$6</f>
              <numCache>
                <formatCode>#,##0;\(#,##0\);\-</formatCode>
                <ptCount val="15"/>
                <pt idx="0">
                  <v>117966</v>
                </pt>
                <pt idx="1">
                  <v>123104</v>
                </pt>
                <pt idx="2">
                  <v>146463</v>
                </pt>
                <pt idx="3">
                  <v>156949</v>
                </pt>
                <pt idx="4">
                  <v>164177</v>
                </pt>
                <pt idx="5">
                  <v>191754</v>
                </pt>
                <pt idx="6">
                  <v>225458</v>
                </pt>
                <pt idx="7">
                  <v>240893</v>
                </pt>
                <pt idx="8">
                  <v>255324</v>
                </pt>
                <pt idx="9">
                  <v>267021</v>
                </pt>
                <pt idx="10">
                  <v>285712.47</v>
                </pt>
                <pt idx="11">
                  <v>307140.90525</v>
                </pt>
                <pt idx="12">
                  <v>331712.17767</v>
                </pt>
                <pt idx="13">
                  <v>358249.1518836</v>
                </pt>
                <pt idx="14">
                  <v>386909.084034288</v>
                </pt>
              </numCache>
            </numRef>
          </val>
        </ser>
        <ser>
          <idx val="1"/>
          <order val="1"/>
          <tx>
            <strRef>
              <f>"EBITDA"</f>
              <strCache>
                <ptCount val="1"/>
                <pt idx="0">
                  <v>EBITDA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IS!$B$15:$P$15</f>
              <numCache>
                <formatCode>#,##0;\(#,##0\);\-</formatCode>
                <ptCount val="15"/>
                <pt idx="0">
                  <v>32310</v>
                </pt>
                <pt idx="1">
                  <v>32516</v>
                </pt>
                <pt idx="2">
                  <v>39506</v>
                </pt>
                <pt idx="3">
                  <v>42109</v>
                </pt>
                <pt idx="4">
                  <v>46546</v>
                </pt>
                <pt idx="5">
                  <v>53057</v>
                </pt>
                <pt idx="6">
                  <v>59259</v>
                </pt>
                <pt idx="7">
                  <v>64296</v>
                </pt>
                <pt idx="8">
                  <v>67407</v>
                </pt>
                <pt idx="9">
                  <v>72398</v>
                </pt>
                <pt idx="10">
                  <v>75713.80455</v>
                </pt>
                <pt idx="11">
                  <v>82928.0444175</v>
                </pt>
                <pt idx="12">
                  <v>89562.2879709</v>
                </pt>
                <pt idx="13">
                  <v>98518.51676799</v>
                </pt>
                <pt idx="14">
                  <v>106399.998109429</v>
                </pt>
              </numCache>
            </numRef>
          </val>
        </ser>
        <gapWidth val="150"/>
        <overlap val="0"/>
        <axId val="14962500"/>
        <axId val="90866724"/>
      </barChart>
      <catAx>
        <axId val="14962500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0866724"/>
        <crosses val="autoZero"/>
        <auto val="1"/>
        <lblAlgn val="ctr"/>
        <lblOffset val="100"/>
        <noMultiLvlLbl val="0"/>
      </catAx>
      <valAx>
        <axId val="9086672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;\(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496250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EPS &amp; DPS Trend (₹)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"EPS"</f>
              <strCache>
                <ptCount val="1"/>
                <pt idx="0">
                  <v>EPS</v>
                </pt>
              </strCache>
            </strRef>
          </tx>
          <spPr>
            <a:solidFill>
              <a:srgbClr val="aa433f"/>
            </a:solidFill>
            <a:ln w="47520">
              <a:solidFill>
                <a:srgbClr val="aa433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IS!$B$31:$P$31</f>
              <numCache>
                <formatCode>\₹#,##0.00;"(₹"#,##0.00\);\-</formatCode>
                <ptCount val="15"/>
                <pt idx="0">
                  <v>66.8781242863305</v>
                </pt>
                <pt idx="1">
                  <v>67.5965104738024</v>
                </pt>
                <pt idx="2">
                  <v>84.1115019720712</v>
                </pt>
                <pt idx="3">
                  <v>86.4699925381089</v>
                </pt>
                <pt idx="4">
                  <v>88.0268173339461</v>
                </pt>
                <pt idx="5">
                  <v>105.077751359624</v>
                </pt>
                <pt idx="6">
                  <v>115.610395999016</v>
                </pt>
                <pt idx="7">
                  <v>127.412177662309</v>
                </pt>
                <pt idx="8">
                  <v>134.869130206462</v>
                </pt>
                <pt idx="9">
                  <v>136.685000414582</v>
                </pt>
                <pt idx="10">
                  <v>148.191296281197</v>
                </pt>
                <pt idx="11">
                  <v>162.390458927218</v>
                </pt>
                <pt idx="12">
                  <v>175.346876508073</v>
                </pt>
                <pt idx="13">
                  <v>193.248673950977</v>
                </pt>
                <pt idx="14">
                  <v>208.788750951385</v>
                </pt>
              </numCache>
            </numRef>
          </val>
          <smooth val="1"/>
        </ser>
        <ser>
          <idx val="1"/>
          <order val="1"/>
          <tx>
            <strRef>
              <f>"DPS"</f>
              <strCache>
                <ptCount val="1"/>
                <pt idx="0">
                  <v>DPS</v>
                </pt>
              </strCache>
            </strRef>
          </tx>
          <spPr>
            <a:solidFill>
              <a:srgbClr val="cc8f8e"/>
            </a:solidFill>
            <a:ln w="47520">
              <a:solidFill>
                <a:srgbClr val="cc8f8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FY2031E</v>
                  </pt>
                </lvl>
                <lvl>
                  <pt idx="0">
                    <v>FY2030E</v>
                  </pt>
                </lvl>
                <lvl>
                  <pt idx="0">
                    <v>FY2029E</v>
                  </pt>
                </lvl>
                <lvl>
                  <pt idx="0">
                    <v>FY2028E</v>
                  </pt>
                </lvl>
                <lvl>
                  <pt idx="0">
                    <v>FY2027E</v>
                  </pt>
                </lvl>
                <lvl>
                  <pt idx="0">
                    <v>FY2026</v>
                  </pt>
                </lvl>
                <lvl>
                  <pt idx="0">
                    <v>FY2025</v>
                  </pt>
                </lvl>
                <lvl>
                  <pt idx="0">
                    <v>FY2024</v>
                  </pt>
                </lvl>
                <lvl>
                  <pt idx="0">
                    <v>FY2023</v>
                  </pt>
                </lvl>
                <lvl>
                  <pt idx="0">
                    <v>FY2022</v>
                  </pt>
                </lvl>
                <lvl>
                  <pt idx="0">
                    <v>FY2021</v>
                  </pt>
                </lvl>
                <lvl>
                  <pt idx="0">
                    <v>FY2020</v>
                  </pt>
                </lvl>
                <lvl>
                  <pt idx="0">
                    <v>FY2019</v>
                  </pt>
                </lvl>
                <lvl>
                  <pt idx="0">
                    <v>FY2018</v>
                  </pt>
                </lvl>
                <lvl>
                  <pt idx="0">
                    <v>FY2017</v>
                  </pt>
                </lvl>
              </multiLvlStrCache>
              <f>IS!$B$5:$P$5</f>
            </multiLvlStrRef>
          </cat>
          <val>
            <numRef>
              <f>IS!$B$32:$P$32</f>
              <numCache>
                <formatCode>\₹#,##0.00;"(₹"#,##0.00\);\-</formatCode>
                <ptCount val="15"/>
                <pt idx="0">
                  <v>23.4946332056129</v>
                </pt>
                <pt idx="1">
                  <v>24.9438437026589</v>
                </pt>
                <pt idx="2">
                  <v>29.9808122801407</v>
                </pt>
                <pt idx="3">
                  <v>72.95330988167569</v>
                </pt>
                <pt idx="4">
                  <v>38.0092454921467</v>
                </pt>
                <pt idx="5">
                  <v>43.0105763712388</v>
                </pt>
                <pt idx="6">
                  <v>115.028285644011</v>
                </pt>
                <pt idx="7">
                  <v>73.03833503772699</v>
                </pt>
                <pt idx="8">
                  <v>126.066167325392</v>
                </pt>
                <pt idx="9">
                  <v>110.057765125342</v>
                </pt>
                <pt idx="10">
                  <v>118.553037024958</v>
                </pt>
                <pt idx="11">
                  <v>129.912367141774</v>
                </pt>
                <pt idx="12">
                  <v>140.277501206458</v>
                </pt>
                <pt idx="13">
                  <v>154.598939160781</v>
                </pt>
                <pt idx="14">
                  <v>167.031000761108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0"/>
        <axId val="62344273"/>
        <axId val="67295999"/>
      </lineChart>
      <catAx>
        <axId val="6234427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7295999"/>
        <crosses val="autoZero"/>
        <auto val="1"/>
        <lblAlgn val="ctr"/>
        <lblOffset val="100"/>
        <noMultiLvlLbl val="0"/>
      </catAx>
      <valAx>
        <axId val="6729599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\₹#,##0.00;&quot;(₹&quot;#,##0.0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2344273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Model Engine</author>
  </authors>
  <commentList>
    <comment ref="E17" authorId="0" shapeId="0">
      <text>
        <t>LIVE: TradingView + Yahoo (SUNPHARMA.NS), 52-week range and sector/industry classification, as of July 2026.</t>
      </text>
    </comment>
  </commentList>
</comments>
</file>

<file path=xl/comments/comment2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Analyst forecast. Reflects moderating IT services demand growth amid AI-led pricing/productivity pressure flagged across the sector in 2026 (e.g. Accenture guidance cuts, Indian IT sell-off Feb 2026). Adjust for updated guidance.</t>
      </text>
    </comment>
    <comment ref="A9" authorId="0" shapeId="0">
      <text>
        <t>Normalized capex assumption for an asset-light IT services model (campus/data-center capex smoothed); FY26 capex was unusually elevated.</t>
      </text>
    </comment>
    <comment ref="C19" authorId="1" shapeId="0">
      <text>
        <t>FALLBACK (Yahoo unavailable/blocked as of 18-Jul-2026): India 10-Yr G-Sec ~6.72%, last published figure. Verify manually (e.g. worldgovernmentbonds.com) and override if stale.</t>
      </text>
    </comment>
    <comment ref="C20" authorId="1" shapeId="0">
      <text>
        <t>LIVE: computed as 15.0Y Nifty 50 (^NSEI) price CAGR (10.33%) minus current risk-free rate, as of 18-Jul-2026. Simplified historical-premium proxy (price only, excludes dividends) -- cross-check against Damodaran's published India ERP (pages.stern.nyu.edu/~adamodar).</t>
      </text>
    </comment>
    <comment ref="C21" authorId="1" shapeId="0">
      <text>
        <t>LIVE: Yahoo Finance reported beta for SUNPHARMA.NS, as of 18-Jul-2026.</t>
      </text>
    </comment>
    <comment ref="C23" authorId="1" shapeId="0">
      <text>
        <t>Default: FY latest effective interest rate on borrowings — override with issuer's actual cost of debt/credit spread if known.</t>
      </text>
    </comment>
    <comment ref="C32" authorId="1" shapeId="0">
      <text>
        <t>Default: long-run India nominal GDP growth proxy (~5%). Editable — should not exceed long-run nominal GDP growth of the economy the company primarily operates in.</t>
      </text>
    </comment>
    <comment ref="C35" authorId="1" shapeId="0">
      <text>
        <t>Source: Screener.in export, uploaded by user</t>
      </text>
    </comment>
    <comment ref="C37" authorId="1" shapeId="0">
      <text>
        <t>Source: Screener.in export, uploaded by user</t>
      </text>
    </comment>
    <comment ref="C38" authorId="1" shapeId="0">
      <text>
        <t>Source: Screener.in export, uploaded by user</t>
      </text>
    </comment>
  </commentList>
</comments>
</file>

<file path=xl/comments/comment3.xml><?xml version="1.0" encoding="utf-8"?>
<comments xmlns="http://schemas.openxmlformats.org/spreadsheetml/2006/main">
  <authors>
    <author>Model Engine</author>
    <author>Unknown Author</author>
  </authors>
  <commentList>
    <comment ref="B6" authorId="0" shapeId="0">
      <text>
        <t>Source: Screener.in export, uploaded by user</t>
      </text>
    </comment>
    <comment ref="A10" authorId="1" shapeId="0">
      <text>
        <t>Source: Company financials as compiled by Screener.in (screener.in/company/TCS), accessed Jul-2026</t>
      </text>
    </comment>
    <comment ref="B11" authorId="0" shapeId="0">
      <text>
        <t>= Raw Material + Power &amp; Fuel + Other Mfg. Exp. (Screener.in)</t>
      </text>
    </comment>
  </commentList>
</comments>
</file>

<file path=xl/comments/comment4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Source: Company financials as compiled by Screener.in (screener.in/company/TCS), accessed Jul-2026</t>
      </text>
    </comment>
    <comment ref="B6" authorId="1" shapeId="0">
      <text>
        <t>Source: Screener.in export, uploaded by user</t>
      </text>
    </comment>
  </commentList>
</comments>
</file>

<file path=xl/comments/comment5.xml><?xml version="1.0" encoding="utf-8"?>
<comments xmlns="http://schemas.openxmlformats.org/spreadsheetml/2006/main">
  <authors>
    <author>Unknown Author</author>
    <author>Model Engine</author>
  </authors>
  <commentList>
    <comment ref="A6" authorId="0" shapeId="0">
      <text>
        <t>Source: Company financials as compiled by Screener.in (screener.in/company/TCS), accessed Jul-2026</t>
      </text>
    </comment>
    <comment ref="B6" authorId="1" shapeId="0">
      <text>
        <t>Source: Screener.in export, uploaded by user</t>
      </text>
    </comment>
  </commentList>
</comments>
</file>

<file path=xl/comments/comment6.xml><?xml version="1.0" encoding="utf-8"?>
<comments xmlns="http://schemas.openxmlformats.org/spreadsheetml/2006/main">
  <authors>
    <author>Model Engine</author>
  </authors>
  <commentList>
    <comment ref="B31" authorId="0" shapeId="0">
      <text>
        <t>Source: Screener.in export, uploaded by user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A15" authorId="0" shapeId="0">
      <text>
        <t>Mid-year convention not applied; end-of-year discounting used for simplicity.</t>
      </text>
    </comment>
  </commentList>
</comments>
</file>

<file path=xl/comments/comment8.xml><?xml version="1.0" encoding="utf-8"?>
<comments xmlns="http://schemas.openxmlformats.org/spreadsheetml/2006/main">
  <authors>
    <author>Unknown Author</author>
    <author>Model Engine</author>
  </authors>
  <commentList>
    <comment ref="B6" authorId="0" shapeId="0">
      <text>
        <t>Source: Screener.in / company filings, TCS trailing multiples as of Jul-2026 (linked from Ratios sheet).</t>
      </text>
    </comment>
    <comment ref="B7" authorId="1" shapeId="0">
      <text>
        <t>LIVE: TradingView + Yahoo, as of July 2026.</t>
      </text>
    </comment>
    <comment ref="B8" authorId="1" shapeId="0">
      <text>
        <t>LIVE: TradingView + Yahoo, as of July 2026.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0</col>
      <colOff>0</colOff>
      <row>22</row>
      <rowOff>130680</rowOff>
    </from>
    <to>
      <col>11</col>
      <colOff>39960</colOff>
      <row>37</row>
      <rowOff>152640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0</col>
      <colOff>0</colOff>
      <row>39</row>
      <rowOff>130680</rowOff>
    </from>
    <to>
      <col>11</col>
      <colOff>39960</colOff>
      <row>54</row>
      <rowOff>152640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C3:F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71" min="1" max="2"/>
    <col width="55" customWidth="1" style="71" min="3" max="3"/>
    <col width="3" customWidth="1" style="71" min="4" max="8"/>
  </cols>
  <sheetData>
    <row r="3" ht="24.45" customHeight="1" s="72">
      <c r="C3" s="73" t="inlineStr">
        <is>
          <t>SUN PHARMACEUTICAL INDUSTRIES LTD — INTEGRATED FINANCIAL MODEL &amp; INTRINSIC VALUATION</t>
        </is>
      </c>
    </row>
    <row r="4" ht="16.15" customHeight="1" s="72">
      <c r="C4" s="74" t="inlineStr">
        <is>
          <t>Integrated Financial Model &amp; Intrinsic Valuation</t>
        </is>
      </c>
    </row>
    <row r="5" ht="15" customHeight="1" s="72">
      <c r="C5" s="75" t="inlineStr">
        <is>
          <t>Three-Statement Model | DCF (FCFF) Valuation | Relative Valuation | Ratio Analysis</t>
        </is>
      </c>
    </row>
    <row r="8" ht="15" customHeight="1" s="72">
      <c r="C8" s="76" t="inlineStr">
        <is>
          <t>Prepared for: Independent Equity Research / Illustrative Purposes</t>
        </is>
      </c>
    </row>
    <row r="9" ht="15" customHeight="1" s="72">
      <c r="C9" s="76" t="inlineStr">
        <is>
          <t>Prepared: July 2026</t>
        </is>
      </c>
    </row>
    <row r="10" ht="15" customHeight="1" s="72">
      <c r="C10" s="76" t="inlineStr">
        <is>
          <t>Currency: Indian Rupees (₹), figures in Crore (1 Cr = 10 million) unless stated otherwise</t>
        </is>
      </c>
    </row>
    <row r="11" ht="15" customHeight="1" s="72">
      <c r="C11" s="76" t="inlineStr">
        <is>
          <t>Fiscal Year End: 31 March</t>
        </is>
      </c>
    </row>
    <row r="13" ht="15" customHeight="1" s="72">
      <c r="C13" s="77" t="inlineStr">
        <is>
          <t>SNAPSHOT</t>
        </is>
      </c>
    </row>
    <row r="14" ht="15" customHeight="1" s="72">
      <c r="C14" s="78" t="inlineStr">
        <is>
          <t>Current Market Price (₹)</t>
        </is>
      </c>
      <c r="E14" s="79" t="n">
        <v>1932.6</v>
      </c>
    </row>
    <row r="15" ht="15" customHeight="1" s="72">
      <c r="C15" s="78" t="inlineStr">
        <is>
          <t>Shares Outstanding (Cr)</t>
        </is>
      </c>
      <c r="E15" s="79" t="n">
        <v>239.93</v>
      </c>
    </row>
    <row r="16" ht="15" customHeight="1" s="72">
      <c r="C16" s="78" t="inlineStr">
        <is>
          <t>Market Capitalization (₹ Cr)</t>
        </is>
      </c>
      <c r="E16" s="79" t="n">
        <v>463688.72</v>
      </c>
    </row>
    <row r="17" ht="15" customHeight="1" s="72">
      <c r="C17" s="78" t="inlineStr">
        <is>
          <t>52-Week Range / Sector</t>
        </is>
      </c>
      <c r="E17" s="80" t="inlineStr">
        <is>
          <t>₹1548.00–₹1962.70 / Health Technology — Nifty Pharma</t>
        </is>
      </c>
    </row>
    <row r="19" ht="15" customHeight="1" s="72">
      <c r="C19" s="77" t="inlineStr">
        <is>
          <t>CONTENTS</t>
        </is>
      </c>
    </row>
    <row r="20" ht="15" customHeight="1" s="72">
      <c r="C20" s="78" t="inlineStr">
        <is>
          <t>1. Assumptions &amp; Cost of Capital</t>
        </is>
      </c>
    </row>
    <row r="21" ht="15" customHeight="1" s="72">
      <c r="C21" s="78" t="inlineStr">
        <is>
          <t>2. Income Statement</t>
        </is>
      </c>
    </row>
    <row r="22" ht="15" customHeight="1" s="72">
      <c r="C22" s="78" t="inlineStr">
        <is>
          <t>3. Balance Sheet</t>
        </is>
      </c>
    </row>
    <row r="23" ht="15" customHeight="1" s="72">
      <c r="C23" s="78" t="inlineStr">
        <is>
          <t>4. Cash Flow Statement</t>
        </is>
      </c>
    </row>
    <row r="24" ht="15" customHeight="1" s="72">
      <c r="C24" s="78" t="inlineStr">
        <is>
          <t>5. Ratio Analysis</t>
        </is>
      </c>
    </row>
    <row r="25" ht="15" customHeight="1" s="72">
      <c r="C25" s="78" t="inlineStr">
        <is>
          <t>6. DCF Valuation (FCFF)</t>
        </is>
      </c>
    </row>
    <row r="26" ht="15" customHeight="1" s="72">
      <c r="C26" s="78" t="inlineStr">
        <is>
          <t>7. Relative Valuation (Comps)</t>
        </is>
      </c>
    </row>
    <row r="27" ht="15" customHeight="1" s="72">
      <c r="C27" s="78" t="inlineStr">
        <is>
          <t>8. Dashboard &amp; Football Field</t>
        </is>
      </c>
    </row>
    <row r="29" ht="60" customHeight="1" s="72">
      <c r="C29" s="81" t="inlineStr">
        <is>
          <t>Color Legend:  Blue = hardcoded input / historical actual figure.   Black = formula / calculation.   Green = link pulling from another worksheet.
Disclaimer: This model is built from publicly available historical financial data and is intended for illustrative / educational purposes. Projections and assumptions (growth, margins, WACC inputs) are estimates and should be independently verified before use in an investment decision. This is not investment advice.</t>
        </is>
      </c>
    </row>
    <row r="30" ht="15" customHeight="1" s="72"/>
    <row r="31" ht="15" customHeight="1" s="72"/>
    <row r="32" ht="15" customHeight="1" s="72"/>
  </sheetData>
  <mergeCells count="10">
    <mergeCell ref="C13:F13"/>
    <mergeCell ref="C9:F9"/>
    <mergeCell ref="C5:F5"/>
    <mergeCell ref="C3:F3"/>
    <mergeCell ref="C8:F8"/>
    <mergeCell ref="C4:F4"/>
    <mergeCell ref="C11:F11"/>
    <mergeCell ref="C29:F32"/>
    <mergeCell ref="C19:F19"/>
    <mergeCell ref="C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tabColor rgb="FFBF8F00"/>
    <outlinePr summaryBelow="1" summaryRight="1"/>
    <pageSetUpPr fitToPage="0"/>
  </sheetPr>
  <dimension ref="A1:P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8" customWidth="1" style="71" min="1" max="1"/>
    <col width="11" customWidth="1" style="71" min="2" max="16"/>
  </cols>
  <sheetData>
    <row r="1" ht="17.35" customHeight="1" s="72">
      <c r="A1" s="82" t="inlineStr">
        <is>
          <t>SUN PHARMACEUTICAL INDUSTRIES LTD — Model Assumptions &amp; Cost of Capital</t>
        </is>
      </c>
    </row>
    <row r="2" ht="15" customHeight="1" s="72">
      <c r="A2" s="83" t="inlineStr">
        <is>
          <t>SUN PHARMACEUTICAL INDUSTRIES LTD (Consolidated)</t>
        </is>
      </c>
    </row>
    <row r="4" ht="18" customHeight="1" s="72">
      <c r="A4" s="77" t="inlineStr">
        <is>
          <t>1. OPERATING &amp; WORKING CAPITAL ASSUMPTIONS  (₹ Crore basis, ratios shown as %)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8" t="inlineStr">
        <is>
          <t>Revenue growth % (YoY)</t>
        </is>
      </c>
      <c r="B6" s="86" t="n"/>
      <c r="C6" s="86">
        <f>IFERROR(IS!C6/IS!B6-1,"")</f>
        <v/>
      </c>
      <c r="D6" s="86">
        <f>IFERROR(IS!D6/IS!C6-1,"")</f>
        <v/>
      </c>
      <c r="E6" s="86">
        <f>IFERROR(IS!E6/IS!D6-1,"")</f>
        <v/>
      </c>
      <c r="F6" s="86">
        <f>IFERROR(IS!F6/IS!E6-1,"")</f>
        <v/>
      </c>
      <c r="G6" s="86">
        <f>IFERROR(IS!G6/IS!F6-1,"")</f>
        <v/>
      </c>
      <c r="H6" s="86">
        <f>IFERROR(IS!H6/IS!G6-1,"")</f>
        <v/>
      </c>
      <c r="I6" s="86">
        <f>IFERROR(IS!I6/IS!H6-1,"")</f>
        <v/>
      </c>
      <c r="J6" s="86">
        <f>IFERROR(IS!J6/IS!I6-1,"")</f>
        <v/>
      </c>
      <c r="K6" s="86">
        <f>IFERROR(IS!K6/IS!J6-1,"")</f>
        <v/>
      </c>
      <c r="L6" s="140">
        <f>IFERROR(AVERAGE(G6:K6),K6)</f>
        <v/>
      </c>
      <c r="M6" s="140">
        <f>IFERROR(AVERAGE(G6:K6),K6)</f>
        <v/>
      </c>
      <c r="N6" s="140">
        <f>IFERROR(AVERAGE(G6:K6),K6)</f>
        <v/>
      </c>
      <c r="O6" s="140">
        <f>IFERROR(AVERAGE(G6:K6),K6)</f>
        <v/>
      </c>
      <c r="P6" s="140">
        <f>IFERROR(AVERAGE(G6:K6),K6)</f>
        <v/>
      </c>
    </row>
    <row r="7" ht="15" customHeight="1" s="72">
      <c r="A7" s="78" t="inlineStr">
        <is>
          <t>EBITDA margin %</t>
        </is>
      </c>
      <c r="B7" s="86">
        <f>IS!B15/IS!B6</f>
        <v/>
      </c>
      <c r="C7" s="86">
        <f>IS!C15/IS!C6</f>
        <v/>
      </c>
      <c r="D7" s="86">
        <f>IS!D15/IS!D6</f>
        <v/>
      </c>
      <c r="E7" s="86">
        <f>IS!E15/IS!E6</f>
        <v/>
      </c>
      <c r="F7" s="86">
        <f>IS!F15/IS!F6</f>
        <v/>
      </c>
      <c r="G7" s="86">
        <f>IS!G15/IS!G6</f>
        <v/>
      </c>
      <c r="H7" s="86">
        <f>IS!H15/IS!H6</f>
        <v/>
      </c>
      <c r="I7" s="86">
        <f>IS!I15/IS!I6</f>
        <v/>
      </c>
      <c r="J7" s="86">
        <f>IS!J15/IS!J6</f>
        <v/>
      </c>
      <c r="K7" s="86">
        <f>IS!K15/IS!K6</f>
        <v/>
      </c>
      <c r="L7" s="140">
        <f>IFERROR(AVERAGE(G7:K7),K7)</f>
        <v/>
      </c>
      <c r="M7" s="140">
        <f>IFERROR(AVERAGE(G7:K7),K7)</f>
        <v/>
      </c>
      <c r="N7" s="140">
        <f>IFERROR(AVERAGE(G7:K7),K7)</f>
        <v/>
      </c>
      <c r="O7" s="140">
        <f>IFERROR(AVERAGE(G7:K7),K7)</f>
        <v/>
      </c>
      <c r="P7" s="140">
        <f>IFERROR(AVERAGE(G7:K7),K7)</f>
        <v/>
      </c>
    </row>
    <row r="8" ht="15" customHeight="1" s="72">
      <c r="A8" s="78" t="inlineStr">
        <is>
          <t>Depreciation &amp; amortization (% of sales)</t>
        </is>
      </c>
      <c r="B8" s="86">
        <f>IS!B18/IS!B6</f>
        <v/>
      </c>
      <c r="C8" s="86">
        <f>IS!C18/IS!C6</f>
        <v/>
      </c>
      <c r="D8" s="86">
        <f>IS!D18/IS!D6</f>
        <v/>
      </c>
      <c r="E8" s="86">
        <f>IS!E18/IS!E6</f>
        <v/>
      </c>
      <c r="F8" s="86">
        <f>IS!F18/IS!F6</f>
        <v/>
      </c>
      <c r="G8" s="86">
        <f>IS!G18/IS!G6</f>
        <v/>
      </c>
      <c r="H8" s="86">
        <f>IS!H18/IS!H6</f>
        <v/>
      </c>
      <c r="I8" s="86">
        <f>IS!I18/IS!I6</f>
        <v/>
      </c>
      <c r="J8" s="86">
        <f>IS!J18/IS!J6</f>
        <v/>
      </c>
      <c r="K8" s="86">
        <f>IS!K18/IS!K6</f>
        <v/>
      </c>
      <c r="L8" s="140">
        <f>IFERROR(AVERAGE(G8:K8),K8)</f>
        <v/>
      </c>
      <c r="M8" s="140">
        <f>IFERROR(AVERAGE(G8:K8),K8)</f>
        <v/>
      </c>
      <c r="N8" s="140">
        <f>IFERROR(AVERAGE(G8:K8),K8)</f>
        <v/>
      </c>
      <c r="O8" s="140">
        <f>IFERROR(AVERAGE(G8:K8),K8)</f>
        <v/>
      </c>
      <c r="P8" s="140">
        <f>IFERROR(AVERAGE(G8:K8),K8)</f>
        <v/>
      </c>
    </row>
    <row r="9" ht="15" customHeight="1" s="72">
      <c r="A9" s="78" t="inlineStr">
        <is>
          <t>Capital expenditure (% of sales)</t>
        </is>
      </c>
      <c r="B9" s="86" t="n"/>
      <c r="C9" s="86">
        <f>IFERROR(((BS!C6+BS!C7)-(BS!B6+BS!B7)+IS!C18)/IS!C6,"")</f>
        <v/>
      </c>
      <c r="D9" s="86">
        <f>IFERROR(((BS!D6+BS!D7)-(BS!C6+BS!C7)+IS!D18)/IS!D6,"")</f>
        <v/>
      </c>
      <c r="E9" s="86">
        <f>IFERROR(((BS!E6+BS!E7)-(BS!D6+BS!D7)+IS!E18)/IS!E6,"")</f>
        <v/>
      </c>
      <c r="F9" s="86">
        <f>IFERROR(((BS!F6+BS!F7)-(BS!E6+BS!E7)+IS!F18)/IS!F6,"")</f>
        <v/>
      </c>
      <c r="G9" s="86">
        <f>IFERROR(((BS!G6+BS!G7)-(BS!F6+BS!F7)+IS!G18)/IS!G6,"")</f>
        <v/>
      </c>
      <c r="H9" s="86">
        <f>IFERROR(((BS!H6+BS!H7)-(BS!G6+BS!G7)+IS!H18)/IS!H6,"")</f>
        <v/>
      </c>
      <c r="I9" s="86">
        <f>IFERROR(((BS!I6+BS!I7)-(BS!H6+BS!H7)+IS!I18)/IS!I6,"")</f>
        <v/>
      </c>
      <c r="J9" s="86">
        <f>IFERROR(((BS!J6+BS!J7)-(BS!I6+BS!I7)+IS!J18)/IS!J6,"")</f>
        <v/>
      </c>
      <c r="K9" s="86">
        <f>IFERROR(((BS!K6+BS!K7)-(BS!J6+BS!J7)+IS!K18)/IS!K6,"")</f>
        <v/>
      </c>
      <c r="L9" s="140">
        <f>IFERROR(AVERAGE(G9:K9),K9)</f>
        <v/>
      </c>
      <c r="M9" s="140">
        <f>IFERROR(AVERAGE(G9:K9),K9)</f>
        <v/>
      </c>
      <c r="N9" s="140">
        <f>IFERROR(AVERAGE(G9:K9),K9)</f>
        <v/>
      </c>
      <c r="O9" s="140">
        <f>IFERROR(AVERAGE(G9:K9),K9)</f>
        <v/>
      </c>
      <c r="P9" s="140">
        <f>IFERROR(AVERAGE(G9:K9),K9)</f>
        <v/>
      </c>
    </row>
    <row r="10" ht="15" customHeight="1" s="72">
      <c r="A10" s="78" t="inlineStr">
        <is>
          <t>Effective tax rate %</t>
        </is>
      </c>
      <c r="B10" s="86">
        <f>IS!B22/IS!B21</f>
        <v/>
      </c>
      <c r="C10" s="86">
        <f>IS!C22/IS!C21</f>
        <v/>
      </c>
      <c r="D10" s="86">
        <f>IS!D22/IS!D21</f>
        <v/>
      </c>
      <c r="E10" s="86">
        <f>IS!E22/IS!E21</f>
        <v/>
      </c>
      <c r="F10" s="86">
        <f>IS!F22/IS!F21</f>
        <v/>
      </c>
      <c r="G10" s="86">
        <f>IS!G22/IS!G21</f>
        <v/>
      </c>
      <c r="H10" s="86">
        <f>IS!H22/IS!H21</f>
        <v/>
      </c>
      <c r="I10" s="86">
        <f>IS!I22/IS!I21</f>
        <v/>
      </c>
      <c r="J10" s="86">
        <f>IS!J22/IS!J21</f>
        <v/>
      </c>
      <c r="K10" s="86">
        <f>IS!K22/IS!K21</f>
        <v/>
      </c>
      <c r="L10" s="140">
        <f>IFERROR(AVERAGE(G10:K10),K10)</f>
        <v/>
      </c>
      <c r="M10" s="140">
        <f>IFERROR(AVERAGE(G10:K10),K10)</f>
        <v/>
      </c>
      <c r="N10" s="140">
        <f>IFERROR(AVERAGE(G10:K10),K10)</f>
        <v/>
      </c>
      <c r="O10" s="140">
        <f>IFERROR(AVERAGE(G10:K10),K10)</f>
        <v/>
      </c>
      <c r="P10" s="140">
        <f>IFERROR(AVERAGE(G10:K10),K10)</f>
        <v/>
      </c>
    </row>
    <row r="11" ht="15" customHeight="1" s="72">
      <c r="A11" s="78" t="inlineStr">
        <is>
          <t>Receivable days (DSO)</t>
        </is>
      </c>
      <c r="B11" s="88">
        <f>BS!B9/IS!B6*365</f>
        <v/>
      </c>
      <c r="C11" s="88">
        <f>BS!C9/IS!C6*365</f>
        <v/>
      </c>
      <c r="D11" s="88">
        <f>BS!D9/IS!D6*365</f>
        <v/>
      </c>
      <c r="E11" s="88">
        <f>BS!E9/IS!E6*365</f>
        <v/>
      </c>
      <c r="F11" s="88">
        <f>BS!F9/IS!F6*365</f>
        <v/>
      </c>
      <c r="G11" s="88">
        <f>BS!G9/IS!G6*365</f>
        <v/>
      </c>
      <c r="H11" s="88">
        <f>BS!H9/IS!H6*365</f>
        <v/>
      </c>
      <c r="I11" s="88">
        <f>BS!I9/IS!I6*365</f>
        <v/>
      </c>
      <c r="J11" s="88">
        <f>BS!J9/IS!J6*365</f>
        <v/>
      </c>
      <c r="K11" s="88">
        <f>BS!K9/IS!K6*365</f>
        <v/>
      </c>
      <c r="L11" s="141">
        <f>IFERROR(AVERAGE(G11:K11),K11)</f>
        <v/>
      </c>
      <c r="M11" s="141">
        <f>IFERROR(AVERAGE(G11:K11),K11)</f>
        <v/>
      </c>
      <c r="N11" s="141">
        <f>IFERROR(AVERAGE(G11:K11),K11)</f>
        <v/>
      </c>
      <c r="O11" s="141">
        <f>IFERROR(AVERAGE(G11:K11),K11)</f>
        <v/>
      </c>
      <c r="P11" s="141">
        <f>IFERROR(AVERAGE(G11:K11),K11)</f>
        <v/>
      </c>
    </row>
    <row r="12" ht="15" customHeight="1" s="72">
      <c r="A12" s="78" t="inlineStr">
        <is>
          <t>Other liabilities (% of sales)</t>
        </is>
      </c>
      <c r="B12" s="86">
        <f>BS!B19/IS!B6</f>
        <v/>
      </c>
      <c r="C12" s="86">
        <f>BS!C19/IS!C6</f>
        <v/>
      </c>
      <c r="D12" s="86">
        <f>BS!D19/IS!D6</f>
        <v/>
      </c>
      <c r="E12" s="86">
        <f>BS!E19/IS!E6</f>
        <v/>
      </c>
      <c r="F12" s="86">
        <f>BS!F19/IS!F6</f>
        <v/>
      </c>
      <c r="G12" s="86">
        <f>BS!G19/IS!G6</f>
        <v/>
      </c>
      <c r="H12" s="86">
        <f>BS!H19/IS!H6</f>
        <v/>
      </c>
      <c r="I12" s="86">
        <f>BS!I19/IS!I6</f>
        <v/>
      </c>
      <c r="J12" s="86">
        <f>BS!J19/IS!J6</f>
        <v/>
      </c>
      <c r="K12" s="86">
        <f>BS!K19/IS!K6</f>
        <v/>
      </c>
      <c r="L12" s="140">
        <f>IFERROR(AVERAGE(G12:K12),K12)</f>
        <v/>
      </c>
      <c r="M12" s="140">
        <f>IFERROR(AVERAGE(G12:K12),K12)</f>
        <v/>
      </c>
      <c r="N12" s="140">
        <f>IFERROR(AVERAGE(G12:K12),K12)</f>
        <v/>
      </c>
      <c r="O12" s="140">
        <f>IFERROR(AVERAGE(G12:K12),K12)</f>
        <v/>
      </c>
      <c r="P12" s="140">
        <f>IFERROR(AVERAGE(G12:K12),K12)</f>
        <v/>
      </c>
    </row>
    <row r="13" ht="15" customHeight="1" s="72">
      <c r="A13" s="78" t="inlineStr">
        <is>
          <t>Other assets, net (% of sales)</t>
        </is>
      </c>
      <c r="B13" s="86">
        <f>BS!B12/IS!B6</f>
        <v/>
      </c>
      <c r="C13" s="86">
        <f>BS!C12/IS!C6</f>
        <v/>
      </c>
      <c r="D13" s="86">
        <f>BS!D12/IS!D6</f>
        <v/>
      </c>
      <c r="E13" s="86">
        <f>BS!E12/IS!E6</f>
        <v/>
      </c>
      <c r="F13" s="86">
        <f>BS!F12/IS!F6</f>
        <v/>
      </c>
      <c r="G13" s="86">
        <f>BS!G12/IS!G6</f>
        <v/>
      </c>
      <c r="H13" s="86">
        <f>BS!H12/IS!H6</f>
        <v/>
      </c>
      <c r="I13" s="86">
        <f>BS!I12/IS!I6</f>
        <v/>
      </c>
      <c r="J13" s="86">
        <f>BS!J12/IS!J6</f>
        <v/>
      </c>
      <c r="K13" s="86">
        <f>BS!K12/IS!K6</f>
        <v/>
      </c>
      <c r="L13" s="140">
        <f>IFERROR(AVERAGE(G13:K13),K13)</f>
        <v/>
      </c>
      <c r="M13" s="140">
        <f>IFERROR(AVERAGE(G13:K13),K13)</f>
        <v/>
      </c>
      <c r="N13" s="140">
        <f>IFERROR(AVERAGE(G13:K13),K13)</f>
        <v/>
      </c>
      <c r="O13" s="140">
        <f>IFERROR(AVERAGE(G13:K13),K13)</f>
        <v/>
      </c>
      <c r="P13" s="140">
        <f>IFERROR(AVERAGE(G13:K13),K13)</f>
        <v/>
      </c>
    </row>
    <row r="14" ht="15" customHeight="1" s="72">
      <c r="A14" s="78" t="inlineStr">
        <is>
          <t>Dividend payout ratio (% of PAT)</t>
        </is>
      </c>
      <c r="B14" s="86">
        <f>IS!B26/IS!B24</f>
        <v/>
      </c>
      <c r="C14" s="86">
        <f>IS!C26/IS!C24</f>
        <v/>
      </c>
      <c r="D14" s="86">
        <f>IS!D26/IS!D24</f>
        <v/>
      </c>
      <c r="E14" s="86">
        <f>IS!E26/IS!E24</f>
        <v/>
      </c>
      <c r="F14" s="86">
        <f>IS!F26/IS!F24</f>
        <v/>
      </c>
      <c r="G14" s="86">
        <f>IS!G26/IS!G24</f>
        <v/>
      </c>
      <c r="H14" s="86">
        <f>IS!H26/IS!H24</f>
        <v/>
      </c>
      <c r="I14" s="86">
        <f>IS!I26/IS!I24</f>
        <v/>
      </c>
      <c r="J14" s="86">
        <f>IS!J26/IS!J24</f>
        <v/>
      </c>
      <c r="K14" s="86">
        <f>IS!K26/IS!K24</f>
        <v/>
      </c>
      <c r="L14" s="140">
        <f>IFERROR(AVERAGE(G14:K14),K14)</f>
        <v/>
      </c>
      <c r="M14" s="140">
        <f>IFERROR(AVERAGE(G14:K14),K14)</f>
        <v/>
      </c>
      <c r="N14" s="140">
        <f>IFERROR(AVERAGE(G14:K14),K14)</f>
        <v/>
      </c>
      <c r="O14" s="140">
        <f>IFERROR(AVERAGE(G14:K14),K14)</f>
        <v/>
      </c>
      <c r="P14" s="140">
        <f>IFERROR(AVERAGE(G14:K14),K14)</f>
        <v/>
      </c>
    </row>
    <row r="15" ht="15" customHeight="1" s="72">
      <c r="A15" s="78" t="inlineStr">
        <is>
          <t>Interest rate on borrowings (%)</t>
        </is>
      </c>
      <c r="B15" s="86" t="n"/>
      <c r="C15" s="86">
        <f>IFERROR(IS!C20/AVERAGE(BS!B18,BS!C18),"")</f>
        <v/>
      </c>
      <c r="D15" s="86">
        <f>IFERROR(IS!D20/AVERAGE(BS!C18,BS!D18),"")</f>
        <v/>
      </c>
      <c r="E15" s="86">
        <f>IFERROR(IS!E20/AVERAGE(BS!D18,BS!E18),"")</f>
        <v/>
      </c>
      <c r="F15" s="86">
        <f>IFERROR(IS!F20/AVERAGE(BS!E18,BS!F18),"")</f>
        <v/>
      </c>
      <c r="G15" s="86">
        <f>IFERROR(IS!G20/AVERAGE(BS!F18,BS!G18),"")</f>
        <v/>
      </c>
      <c r="H15" s="86">
        <f>IFERROR(IS!H20/AVERAGE(BS!G18,BS!H18),"")</f>
        <v/>
      </c>
      <c r="I15" s="86">
        <f>IFERROR(IS!I20/AVERAGE(BS!H18,BS!I18),"")</f>
        <v/>
      </c>
      <c r="J15" s="86">
        <f>IFERROR(IS!J20/AVERAGE(BS!I18,BS!J18),"")</f>
        <v/>
      </c>
      <c r="K15" s="86">
        <f>IFERROR(IS!K20/AVERAGE(BS!J18,BS!K18),"")</f>
        <v/>
      </c>
      <c r="L15" s="140">
        <f>IFERROR(AVERAGE(G15:K15),K15)</f>
        <v/>
      </c>
      <c r="M15" s="140">
        <f>IFERROR(AVERAGE(G15:K15),K15)</f>
        <v/>
      </c>
      <c r="N15" s="140">
        <f>IFERROR(AVERAGE(G15:K15),K15)</f>
        <v/>
      </c>
      <c r="O15" s="140">
        <f>IFERROR(AVERAGE(G15:K15),K15)</f>
        <v/>
      </c>
      <c r="P15" s="140">
        <f>IFERROR(AVERAGE(G15:K15),K15)</f>
        <v/>
      </c>
    </row>
    <row r="16" ht="15" customHeight="1" s="72">
      <c r="A16" s="78" t="inlineStr">
        <is>
          <t>Yield on cash &amp; investments (%)</t>
        </is>
      </c>
      <c r="B16" s="86" t="n"/>
      <c r="C16" s="86">
        <f>IFERROR(IS!C17/AVERAGE(BS!B11+BS!B8,BS!C11+BS!C8),"")</f>
        <v/>
      </c>
      <c r="D16" s="86">
        <f>IFERROR(IS!D17/AVERAGE(BS!C11+BS!C8,BS!D11+BS!D8),"")</f>
        <v/>
      </c>
      <c r="E16" s="86">
        <f>IFERROR(IS!E17/AVERAGE(BS!D11+BS!D8,BS!E11+BS!E8),"")</f>
        <v/>
      </c>
      <c r="F16" s="86">
        <f>IFERROR(IS!F17/AVERAGE(BS!E11+BS!E8,BS!F11+BS!F8),"")</f>
        <v/>
      </c>
      <c r="G16" s="86">
        <f>IFERROR(IS!G17/AVERAGE(BS!F11+BS!F8,BS!G11+BS!G8),"")</f>
        <v/>
      </c>
      <c r="H16" s="86">
        <f>IFERROR(IS!H17/AVERAGE(BS!G11+BS!G8,BS!H11+BS!H8),"")</f>
        <v/>
      </c>
      <c r="I16" s="86">
        <f>IFERROR(IS!I17/AVERAGE(BS!H11+BS!H8,BS!I11+BS!I8),"")</f>
        <v/>
      </c>
      <c r="J16" s="86">
        <f>IFERROR(IS!J17/AVERAGE(BS!I11+BS!I8,BS!J11+BS!J8),"")</f>
        <v/>
      </c>
      <c r="K16" s="86">
        <f>IFERROR(IS!K17/AVERAGE(BS!J11+BS!J8,BS!K11+BS!K8),"")</f>
        <v/>
      </c>
      <c r="L16" s="140">
        <f>IFERROR(AVERAGE(G16:K16),K16)</f>
        <v/>
      </c>
      <c r="M16" s="140">
        <f>IFERROR(AVERAGE(G16:K16),K16)</f>
        <v/>
      </c>
      <c r="N16" s="140">
        <f>IFERROR(AVERAGE(G16:K16),K16)</f>
        <v/>
      </c>
      <c r="O16" s="140">
        <f>IFERROR(AVERAGE(G16:K16),K16)</f>
        <v/>
      </c>
      <c r="P16" s="140">
        <f>IFERROR(AVERAGE(G16:K16),K16)</f>
        <v/>
      </c>
    </row>
    <row r="17" ht="15" customHeight="1" s="72"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P17" s="90" t="n"/>
    </row>
    <row r="18" ht="18" customHeight="1" s="72">
      <c r="A18" s="77" t="inlineStr">
        <is>
          <t>2. COST OF CAPITAL (WACC) — SINGLE-POINT INPUTS</t>
        </is>
      </c>
    </row>
    <row r="19" ht="15" customHeight="1" s="72">
      <c r="A19" s="78" t="inlineStr">
        <is>
          <t>Risk-free rate (India 10-Yr G-Sec yield)</t>
        </is>
      </c>
      <c r="C19" s="142" t="n">
        <v>0.0672</v>
      </c>
    </row>
    <row r="20" ht="15" customHeight="1" s="72">
      <c r="A20" s="78" t="inlineStr">
        <is>
          <t>Equity risk premium (India)</t>
        </is>
      </c>
      <c r="C20" s="142" t="n">
        <v>0.0361</v>
      </c>
    </row>
    <row r="21" ht="15" customHeight="1" s="72">
      <c r="A21" s="78" t="inlineStr">
        <is>
          <t>Levered beta</t>
        </is>
      </c>
      <c r="C21" s="143" t="n">
        <v>0.076</v>
      </c>
    </row>
    <row r="22" ht="15" customHeight="1" s="72">
      <c r="A22" s="93" t="inlineStr">
        <is>
          <t>Cost of equity (CAPM) = Rf + β × ERP</t>
        </is>
      </c>
      <c r="C22" s="94">
        <f>C19+C21*C20</f>
        <v/>
      </c>
    </row>
    <row r="23" ht="15" customHeight="1" s="72">
      <c r="A23" s="78" t="inlineStr">
        <is>
          <t>Pre-tax cost of debt</t>
        </is>
      </c>
      <c r="C23" s="142" t="n">
        <v>0.075</v>
      </c>
    </row>
    <row r="24" ht="15" customHeight="1" s="72">
      <c r="A24" s="78" t="inlineStr">
        <is>
          <t>Tax rate (for WACC)</t>
        </is>
      </c>
      <c r="C24" s="95">
        <f>K10</f>
        <v/>
      </c>
    </row>
    <row r="25" ht="15" customHeight="1" s="72">
      <c r="A25" s="93" t="inlineStr">
        <is>
          <t>After-tax cost of debt</t>
        </is>
      </c>
      <c r="C25" s="94">
        <f>C23*(1-C24)</f>
        <v/>
      </c>
    </row>
    <row r="26" ht="15" customHeight="1" s="72">
      <c r="A26" s="78" t="inlineStr">
        <is>
          <t>Market value of equity (current market cap, ₹ Cr)</t>
        </is>
      </c>
      <c r="C26" s="96">
        <f>C36</f>
        <v/>
      </c>
    </row>
    <row r="27" ht="15" customHeight="1" s="72">
      <c r="A27" s="78" t="inlineStr">
        <is>
          <t>Total debt (FY2026A, ₹ Cr)</t>
        </is>
      </c>
      <c r="C27" s="96">
        <f>BS!K18</f>
        <v/>
      </c>
    </row>
    <row r="28" ht="15" customHeight="1" s="72">
      <c r="A28" s="78" t="inlineStr">
        <is>
          <t>Weight of equity</t>
        </is>
      </c>
      <c r="C28" s="97">
        <f>C26/(C26+C27)</f>
        <v/>
      </c>
    </row>
    <row r="29" ht="15" customHeight="1" s="72">
      <c r="A29" s="78" t="inlineStr">
        <is>
          <t>Weight of debt</t>
        </is>
      </c>
      <c r="C29" s="97">
        <f>C27/(C26+C27)</f>
        <v/>
      </c>
    </row>
    <row r="30" ht="15" customHeight="1" s="72">
      <c r="A30" s="93" t="inlineStr">
        <is>
          <t>WACC</t>
        </is>
      </c>
      <c r="C30" s="98">
        <f>C28*C22+C29*C25</f>
        <v/>
      </c>
    </row>
    <row r="32" ht="15" customHeight="1" s="72">
      <c r="A32" s="93" t="inlineStr">
        <is>
          <t>Terminal growth rate (g)</t>
        </is>
      </c>
      <c r="C32" s="142" t="n">
        <v>0.05</v>
      </c>
    </row>
    <row r="33" ht="15" customHeight="1" s="72">
      <c r="A33" s="90" t="n"/>
      <c r="B33" s="90" t="n"/>
      <c r="C33" s="90" t="n"/>
      <c r="D33" s="90" t="n"/>
      <c r="E33" s="90" t="n"/>
      <c r="F33" s="90" t="n"/>
    </row>
    <row r="34" ht="18" customHeight="1" s="72">
      <c r="A34" s="77" t="inlineStr">
        <is>
          <t>3. CURRENT MARKET DATA</t>
        </is>
      </c>
    </row>
    <row r="35" ht="15" customHeight="1" s="72">
      <c r="A35" s="78" t="inlineStr">
        <is>
          <t>Current share price (₹)</t>
        </is>
      </c>
      <c r="C35" s="144" t="n">
        <v>1932.6</v>
      </c>
    </row>
    <row r="36" ht="15" customHeight="1" s="72">
      <c r="A36" s="78" t="inlineStr">
        <is>
          <t>Market capitalization (₹ Cr)</t>
        </is>
      </c>
      <c r="C36" s="100">
        <f>C35*C37</f>
        <v/>
      </c>
    </row>
    <row r="37" ht="15" customHeight="1" s="72">
      <c r="A37" s="78" t="inlineStr">
        <is>
          <t>Shares outstanding (Cr)</t>
        </is>
      </c>
      <c r="C37" s="145" t="n">
        <v>239.93</v>
      </c>
    </row>
    <row r="38" ht="15" customHeight="1" s="72">
      <c r="A38" s="78" t="inlineStr">
        <is>
          <t>Face value per share (₹)</t>
        </is>
      </c>
      <c r="C38" s="145" t="n">
        <v>1</v>
      </c>
    </row>
  </sheetData>
  <mergeCells count="3">
    <mergeCell ref="A18:P18"/>
    <mergeCell ref="A4:P4"/>
    <mergeCell ref="A34:F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Income Statement</t>
        </is>
      </c>
    </row>
    <row r="2" ht="15" customHeight="1" s="72">
      <c r="A2" s="102" t="inlineStr">
        <is>
          <t>SUN PHARMACEUTICAL INDUSTRIES LTD (Consolidated)</t>
        </is>
      </c>
    </row>
    <row r="4" ht="18" customHeight="1" s="72">
      <c r="A4" s="77" t="inlineStr">
        <is>
          <t>INCOME STATEMENT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103" t="inlineStr">
        <is>
          <t>Revenue from Operations</t>
        </is>
      </c>
      <c r="B6" s="146" t="n">
        <v>31578.44</v>
      </c>
      <c r="C6" s="146" t="n">
        <v>26489.46</v>
      </c>
      <c r="D6" s="146" t="n">
        <v>29065.91</v>
      </c>
      <c r="E6" s="146" t="n">
        <v>32837.5</v>
      </c>
      <c r="F6" s="146" t="n">
        <v>33498.14</v>
      </c>
      <c r="G6" s="146" t="n">
        <v>38654.49</v>
      </c>
      <c r="H6" s="146" t="n">
        <v>43885.68</v>
      </c>
      <c r="I6" s="146" t="n">
        <v>48496.85</v>
      </c>
      <c r="J6" s="146" t="n">
        <v>52578.44</v>
      </c>
      <c r="K6" s="146" t="n">
        <v>58462.04</v>
      </c>
      <c r="L6" s="104">
        <f>IS!K6*(1+Assumptions!L6)</f>
        <v/>
      </c>
      <c r="M6" s="104">
        <f>IS!L6*(1+Assumptions!M6)</f>
        <v/>
      </c>
      <c r="N6" s="104">
        <f>IS!M6*(1+Assumptions!N6)</f>
        <v/>
      </c>
      <c r="O6" s="104">
        <f>IS!N6*(1+Assumptions!O6)</f>
        <v/>
      </c>
      <c r="P6" s="104">
        <f>IS!O6*(1+Assumptions!P6)</f>
        <v/>
      </c>
    </row>
    <row r="7" ht="15" customHeight="1" s="72">
      <c r="A7" s="105" t="inlineStr">
        <is>
          <t xml:space="preserve">  Growth % YoY</t>
        </is>
      </c>
      <c r="C7" s="106">
        <f>IFERROR(C6/B6-1,"")</f>
        <v/>
      </c>
      <c r="D7" s="106">
        <f>IFERROR(D6/C6-1,"")</f>
        <v/>
      </c>
      <c r="E7" s="106">
        <f>IFERROR(E6/D6-1,"")</f>
        <v/>
      </c>
      <c r="F7" s="106">
        <f>IFERROR(F6/E6-1,"")</f>
        <v/>
      </c>
      <c r="G7" s="106">
        <f>IFERROR(G6/F6-1,"")</f>
        <v/>
      </c>
      <c r="H7" s="106">
        <f>IFERROR(H6/G6-1,"")</f>
        <v/>
      </c>
      <c r="I7" s="106">
        <f>IFERROR(I6/H6-1,"")</f>
        <v/>
      </c>
      <c r="J7" s="106">
        <f>IFERROR(J6/I6-1,"")</f>
        <v/>
      </c>
      <c r="K7" s="106">
        <f>IFERROR(K6/J6-1,"")</f>
        <v/>
      </c>
      <c r="L7" s="106">
        <f>IFERROR(L6/K6-1,"")</f>
        <v/>
      </c>
      <c r="M7" s="106">
        <f>IFERROR(M6/L6-1,"")</f>
        <v/>
      </c>
      <c r="N7" s="106">
        <f>IFERROR(N6/M6-1,"")</f>
        <v/>
      </c>
      <c r="O7" s="106">
        <f>IFERROR(O6/N6-1,"")</f>
        <v/>
      </c>
      <c r="P7" s="106">
        <f>IFERROR(P6/O6-1,"")</f>
        <v/>
      </c>
    </row>
    <row r="9" ht="15" customHeight="1" s="72">
      <c r="A9" s="107" t="inlineStr">
        <is>
          <t>Operating Expenses</t>
        </is>
      </c>
    </row>
    <row r="10" ht="15" customHeight="1" s="72">
      <c r="A10" s="78" t="inlineStr">
        <is>
          <t>Employee Costs</t>
        </is>
      </c>
      <c r="B10" s="146" t="n">
        <v>4902.3</v>
      </c>
      <c r="C10" s="146" t="n">
        <v>5367.05</v>
      </c>
      <c r="D10" s="146" t="n">
        <v>5967.09</v>
      </c>
      <c r="E10" s="146" t="n">
        <v>6362.35</v>
      </c>
      <c r="F10" s="146" t="n">
        <v>6862.23</v>
      </c>
      <c r="G10" s="146" t="n">
        <v>7300.83</v>
      </c>
      <c r="H10" s="146" t="n">
        <v>8296.030000000001</v>
      </c>
      <c r="I10" s="146" t="n">
        <v>9429.059999999999</v>
      </c>
      <c r="J10" s="146" t="n">
        <v>9973.120000000001</v>
      </c>
      <c r="K10" s="146" t="n">
        <v>11418.86</v>
      </c>
      <c r="L10" s="108" t="inlineStr">
        <is>
          <t>n/a — modeled at aggregate EBITDA margin (see row 14)</t>
        </is>
      </c>
      <c r="M10" s="108" t="inlineStr">
        <is>
          <t>n/a — modeled at aggregate EBITDA margin (see row 14)</t>
        </is>
      </c>
      <c r="N10" s="108" t="inlineStr">
        <is>
          <t>n/a — modeled at aggregate EBITDA margin (see row 14)</t>
        </is>
      </c>
      <c r="O10" s="108" t="inlineStr">
        <is>
          <t>n/a — modeled at aggregate EBITDA margin (see row 14)</t>
        </is>
      </c>
      <c r="P10" s="108" t="inlineStr">
        <is>
          <t>n/a — modeled at aggregate EBITDA margin (see row 14)</t>
        </is>
      </c>
    </row>
    <row r="11" ht="15" customHeight="1" s="72">
      <c r="A11" s="78" t="inlineStr">
        <is>
          <t>Cost of Materials &amp; Other Direct Costs</t>
        </is>
      </c>
      <c r="B11" s="146" t="n">
        <v>10900.92</v>
      </c>
      <c r="C11" s="146" t="n">
        <v>9582.299999999999</v>
      </c>
      <c r="D11" s="146" t="n">
        <v>10800.39</v>
      </c>
      <c r="E11" s="146" t="n">
        <v>11241.49</v>
      </c>
      <c r="F11" s="146" t="n">
        <v>11679.17</v>
      </c>
      <c r="G11" s="146" t="n">
        <v>13042.64</v>
      </c>
      <c r="H11" s="146" t="n">
        <v>14115.89</v>
      </c>
      <c r="I11" s="146" t="n">
        <v>13317.88</v>
      </c>
      <c r="J11" s="146" t="n">
        <v>13608.69</v>
      </c>
      <c r="K11" s="146" t="n">
        <v>14578.63</v>
      </c>
      <c r="L11" s="108" t="inlineStr">
        <is>
          <t>n/a — modeled at aggregate EBITDA margin (see row 14)</t>
        </is>
      </c>
      <c r="M11" s="108" t="inlineStr">
        <is>
          <t>n/a — modeled at aggregate EBITDA margin (see row 14)</t>
        </is>
      </c>
      <c r="N11" s="108" t="inlineStr">
        <is>
          <t>n/a — modeled at aggregate EBITDA margin (see row 14)</t>
        </is>
      </c>
      <c r="O11" s="108" t="inlineStr">
        <is>
          <t>n/a — modeled at aggregate EBITDA margin (see row 14)</t>
        </is>
      </c>
      <c r="P11" s="108" t="inlineStr">
        <is>
          <t>n/a — modeled at aggregate EBITDA margin (see row 14)</t>
        </is>
      </c>
    </row>
    <row r="12" ht="15" customHeight="1" s="72">
      <c r="A12" s="78" t="inlineStr">
        <is>
          <t>Selling, General &amp; Admin. Expenses</t>
        </is>
      </c>
      <c r="B12" s="146" t="n">
        <v>5224.61</v>
      </c>
      <c r="C12" s="146" t="n">
        <v>4727</v>
      </c>
      <c r="D12" s="146" t="n">
        <v>5350.33</v>
      </c>
      <c r="E12" s="146" t="n">
        <v>6995.37</v>
      </c>
      <c r="F12" s="146" t="n">
        <v>6283.41</v>
      </c>
      <c r="G12" s="146" t="n">
        <v>7366.88</v>
      </c>
      <c r="H12" s="146" t="n">
        <v>9482.360000000001</v>
      </c>
      <c r="I12" s="146" t="n">
        <v>11033.19</v>
      </c>
      <c r="J12" s="146" t="n">
        <v>12222.92</v>
      </c>
      <c r="K12" s="146" t="n">
        <v>13831.14</v>
      </c>
      <c r="L12" s="108" t="inlineStr">
        <is>
          <t>n/a — modeled at aggregate EBITDA margin (see row 14)</t>
        </is>
      </c>
      <c r="M12" s="108" t="inlineStr">
        <is>
          <t>n/a — modeled at aggregate EBITDA margin (see row 14)</t>
        </is>
      </c>
      <c r="N12" s="108" t="inlineStr">
        <is>
          <t>n/a — modeled at aggregate EBITDA margin (see row 14)</t>
        </is>
      </c>
      <c r="O12" s="108" t="inlineStr">
        <is>
          <t>n/a — modeled at aggregate EBITDA margin (see row 14)</t>
        </is>
      </c>
      <c r="P12" s="108" t="inlineStr">
        <is>
          <t>n/a — modeled at aggregate EBITDA margin (see row 14)</t>
        </is>
      </c>
    </row>
    <row r="13" ht="15" customHeight="1" s="72">
      <c r="A13" s="78" t="inlineStr">
        <is>
          <t>Other Expenses</t>
        </is>
      </c>
      <c r="B13" s="146" t="n">
        <v>720.22</v>
      </c>
      <c r="C13" s="146" t="n">
        <v>950.99</v>
      </c>
      <c r="D13" s="146" t="n">
        <v>1004.23</v>
      </c>
      <c r="E13" s="146" t="n">
        <v>954.6</v>
      </c>
      <c r="F13" s="146" t="n">
        <v>841.59</v>
      </c>
      <c r="G13" s="146" t="n">
        <v>794.1799999999999</v>
      </c>
      <c r="H13" s="146" t="n">
        <v>1027.87</v>
      </c>
      <c r="I13" s="146" t="n">
        <v>1406.82</v>
      </c>
      <c r="J13" s="146" t="n">
        <v>1508.94</v>
      </c>
      <c r="K13" s="146" t="n">
        <v>1789.45</v>
      </c>
      <c r="L13" s="108" t="inlineStr">
        <is>
          <t>n/a — modeled at aggregate EBITDA margin (see row 14)</t>
        </is>
      </c>
      <c r="M13" s="108" t="inlineStr">
        <is>
          <t>n/a — modeled at aggregate EBITDA margin (see row 14)</t>
        </is>
      </c>
      <c r="N13" s="108" t="inlineStr">
        <is>
          <t>n/a — modeled at aggregate EBITDA margin (see row 14)</t>
        </is>
      </c>
      <c r="O13" s="108" t="inlineStr">
        <is>
          <t>n/a — modeled at aggregate EBITDA margin (see row 14)</t>
        </is>
      </c>
      <c r="P13" s="108" t="inlineStr">
        <is>
          <t>n/a — modeled at aggregate EBITDA margin (see row 14)</t>
        </is>
      </c>
    </row>
    <row r="14" ht="15" customHeight="1" s="72">
      <c r="A14" s="103" t="inlineStr">
        <is>
          <t>Total Operating Expenses</t>
        </is>
      </c>
      <c r="B14" s="109">
        <f>SUM(B10:B13)</f>
        <v/>
      </c>
      <c r="C14" s="109">
        <f>SUM(C10:C13)</f>
        <v/>
      </c>
      <c r="D14" s="109">
        <f>SUM(D10:D13)</f>
        <v/>
      </c>
      <c r="E14" s="109">
        <f>SUM(E10:E13)</f>
        <v/>
      </c>
      <c r="F14" s="109">
        <f>SUM(F10:F13)</f>
        <v/>
      </c>
      <c r="G14" s="109">
        <f>SUM(G10:G13)</f>
        <v/>
      </c>
      <c r="H14" s="109">
        <f>SUM(H10:H13)</f>
        <v/>
      </c>
      <c r="I14" s="109">
        <f>SUM(I10:I13)</f>
        <v/>
      </c>
      <c r="J14" s="109">
        <f>SUM(J10:J13)</f>
        <v/>
      </c>
      <c r="K14" s="109">
        <f>SUM(K10:K13)</f>
        <v/>
      </c>
      <c r="L14" s="109">
        <f>IS!L6*(1-Assumptions!L7)</f>
        <v/>
      </c>
      <c r="M14" s="109">
        <f>IS!M6*(1-Assumptions!M7)</f>
        <v/>
      </c>
      <c r="N14" s="109">
        <f>IS!N6*(1-Assumptions!N7)</f>
        <v/>
      </c>
      <c r="O14" s="109">
        <f>IS!O6*(1-Assumptions!O7)</f>
        <v/>
      </c>
      <c r="P14" s="109">
        <f>IS!P6*(1-Assumptions!P7)</f>
        <v/>
      </c>
    </row>
    <row r="15" ht="13.5" customHeight="1" s="72">
      <c r="A15" s="103" t="inlineStr">
        <is>
          <t>EBITDA</t>
        </is>
      </c>
      <c r="B15" s="104">
        <f>B6-B14</f>
        <v/>
      </c>
      <c r="C15" s="104">
        <f>C6-C14</f>
        <v/>
      </c>
      <c r="D15" s="104">
        <f>D6-D14</f>
        <v/>
      </c>
      <c r="E15" s="104">
        <f>E6-E14</f>
        <v/>
      </c>
      <c r="F15" s="104">
        <f>F6-F14</f>
        <v/>
      </c>
      <c r="G15" s="104">
        <f>G6-G14</f>
        <v/>
      </c>
      <c r="H15" s="104">
        <f>H6-H14</f>
        <v/>
      </c>
      <c r="I15" s="104">
        <f>I6-I14</f>
        <v/>
      </c>
      <c r="J15" s="104">
        <f>J6-J14</f>
        <v/>
      </c>
      <c r="K15" s="104">
        <f>K6-K14</f>
        <v/>
      </c>
      <c r="L15" s="104">
        <f>L6-L14</f>
        <v/>
      </c>
      <c r="M15" s="104">
        <f>M6-M14</f>
        <v/>
      </c>
      <c r="N15" s="104">
        <f>N6-N14</f>
        <v/>
      </c>
      <c r="O15" s="104">
        <f>O6-O14</f>
        <v/>
      </c>
      <c r="P15" s="104">
        <f>P6-P14</f>
        <v/>
      </c>
    </row>
    <row r="16" ht="15" customHeight="1" s="72">
      <c r="A16" s="105" t="inlineStr">
        <is>
          <t xml:space="preserve">  EBITDA Margin %</t>
        </is>
      </c>
      <c r="B16" s="106">
        <f>B15/B6</f>
        <v/>
      </c>
      <c r="C16" s="106">
        <f>C15/C6</f>
        <v/>
      </c>
      <c r="D16" s="106">
        <f>D15/D6</f>
        <v/>
      </c>
      <c r="E16" s="106">
        <f>E15/E6</f>
        <v/>
      </c>
      <c r="F16" s="106">
        <f>F15/F6</f>
        <v/>
      </c>
      <c r="G16" s="106">
        <f>G15/G6</f>
        <v/>
      </c>
      <c r="H16" s="106">
        <f>H15/H6</f>
        <v/>
      </c>
      <c r="I16" s="106">
        <f>I15/I6</f>
        <v/>
      </c>
      <c r="J16" s="106">
        <f>J15/J6</f>
        <v/>
      </c>
      <c r="K16" s="106">
        <f>K15/K6</f>
        <v/>
      </c>
      <c r="L16" s="106">
        <f>L15/L6</f>
        <v/>
      </c>
      <c r="M16" s="106">
        <f>M15/M6</f>
        <v/>
      </c>
      <c r="N16" s="106">
        <f>N15/N6</f>
        <v/>
      </c>
      <c r="O16" s="106">
        <f>O15/O6</f>
        <v/>
      </c>
      <c r="P16" s="106">
        <f>P15/P6</f>
        <v/>
      </c>
    </row>
    <row r="17" ht="15" customHeight="1" s="72">
      <c r="A17" s="78" t="inlineStr">
        <is>
          <t>Other Income</t>
        </is>
      </c>
      <c r="B17" s="146" t="n">
        <v>610.4</v>
      </c>
      <c r="C17" s="146" t="n">
        <v>-135.03</v>
      </c>
      <c r="D17" s="146" t="n">
        <v>-258.28</v>
      </c>
      <c r="E17" s="146" t="n">
        <v>382.26</v>
      </c>
      <c r="F17" s="146" t="n">
        <v>-3449.21</v>
      </c>
      <c r="G17" s="146" t="n">
        <v>-3505.16</v>
      </c>
      <c r="H17" s="146" t="n">
        <v>459.42</v>
      </c>
      <c r="I17" s="146" t="n">
        <v>865.23</v>
      </c>
      <c r="J17" s="146" t="n">
        <v>1444.42</v>
      </c>
      <c r="K17" s="146" t="n">
        <v>1894.81</v>
      </c>
      <c r="L17" s="96">
        <f>Assumptions!L16*(BS!K11+BS!K8)</f>
        <v/>
      </c>
      <c r="M17" s="96">
        <f>Assumptions!M16*(BS!L11+BS!L8)</f>
        <v/>
      </c>
      <c r="N17" s="96">
        <f>Assumptions!N16*(BS!M11+BS!M8)</f>
        <v/>
      </c>
      <c r="O17" s="96">
        <f>Assumptions!O16*(BS!N11+BS!N8)</f>
        <v/>
      </c>
      <c r="P17" s="96">
        <f>Assumptions!P16*(BS!O11+BS!O8)</f>
        <v/>
      </c>
    </row>
    <row r="18" ht="15" customHeight="1" s="72">
      <c r="A18" s="78" t="inlineStr">
        <is>
          <t>Less: Depreciation &amp; Amortization</t>
        </is>
      </c>
      <c r="B18" s="146" t="n">
        <v>1264.75</v>
      </c>
      <c r="C18" s="146" t="n">
        <v>1499.84</v>
      </c>
      <c r="D18" s="146" t="n">
        <v>1753.25</v>
      </c>
      <c r="E18" s="146" t="n">
        <v>2052.78</v>
      </c>
      <c r="F18" s="146" t="n">
        <v>2079.95</v>
      </c>
      <c r="G18" s="146" t="n">
        <v>2143.74</v>
      </c>
      <c r="H18" s="146" t="n">
        <v>2529.43</v>
      </c>
      <c r="I18" s="146" t="n">
        <v>2556.64</v>
      </c>
      <c r="J18" s="146" t="n">
        <v>2575.39</v>
      </c>
      <c r="K18" s="146" t="n">
        <v>2937.85</v>
      </c>
      <c r="L18" s="100">
        <f>Assumptions!L8*L6</f>
        <v/>
      </c>
      <c r="M18" s="100">
        <f>Assumptions!M8*M6</f>
        <v/>
      </c>
      <c r="N18" s="100">
        <f>Assumptions!N8*N6</f>
        <v/>
      </c>
      <c r="O18" s="100">
        <f>Assumptions!O8*O6</f>
        <v/>
      </c>
      <c r="P18" s="100">
        <f>Assumptions!P8*P6</f>
        <v/>
      </c>
    </row>
    <row r="19" ht="15" customHeight="1" s="72">
      <c r="A19" s="103" t="inlineStr">
        <is>
          <t>EBIT</t>
        </is>
      </c>
      <c r="B19" s="104">
        <f>B15-B18</f>
        <v/>
      </c>
      <c r="C19" s="104">
        <f>C15-C18</f>
        <v/>
      </c>
      <c r="D19" s="104">
        <f>D15-D18</f>
        <v/>
      </c>
      <c r="E19" s="104">
        <f>E15-E18</f>
        <v/>
      </c>
      <c r="F19" s="104">
        <f>F15-F18</f>
        <v/>
      </c>
      <c r="G19" s="104">
        <f>G15-G18</f>
        <v/>
      </c>
      <c r="H19" s="104">
        <f>H15-H18</f>
        <v/>
      </c>
      <c r="I19" s="104">
        <f>I15-I18</f>
        <v/>
      </c>
      <c r="J19" s="104">
        <f>J15-J18</f>
        <v/>
      </c>
      <c r="K19" s="104">
        <f>K15-K18</f>
        <v/>
      </c>
      <c r="L19" s="104">
        <f>L15-L18</f>
        <v/>
      </c>
      <c r="M19" s="104">
        <f>M15-M18</f>
        <v/>
      </c>
      <c r="N19" s="104">
        <f>N15-N18</f>
        <v/>
      </c>
      <c r="O19" s="104">
        <f>O15-O18</f>
        <v/>
      </c>
      <c r="P19" s="104">
        <f>P15-P18</f>
        <v/>
      </c>
    </row>
    <row r="20" ht="15" customHeight="1" s="72">
      <c r="A20" s="78" t="inlineStr">
        <is>
          <t>Less: Interest Expense</t>
        </is>
      </c>
      <c r="B20" s="146" t="n">
        <v>399.8</v>
      </c>
      <c r="C20" s="146" t="n">
        <v>517.5700000000001</v>
      </c>
      <c r="D20" s="146" t="n">
        <v>555.25</v>
      </c>
      <c r="E20" s="146" t="n">
        <v>302.73</v>
      </c>
      <c r="F20" s="146" t="n">
        <v>141.43</v>
      </c>
      <c r="G20" s="146" t="n">
        <v>127.35</v>
      </c>
      <c r="H20" s="146" t="n">
        <v>172</v>
      </c>
      <c r="I20" s="146" t="n">
        <v>238.47</v>
      </c>
      <c r="J20" s="146" t="n">
        <v>231.36</v>
      </c>
      <c r="K20" s="146" t="n">
        <v>338.91</v>
      </c>
      <c r="L20" s="96">
        <f>Assumptions!L15*BS!K18</f>
        <v/>
      </c>
      <c r="M20" s="96">
        <f>Assumptions!M15*BS!L18</f>
        <v/>
      </c>
      <c r="N20" s="96">
        <f>Assumptions!N15*BS!M18</f>
        <v/>
      </c>
      <c r="O20" s="96">
        <f>Assumptions!O15*BS!N18</f>
        <v/>
      </c>
      <c r="P20" s="96">
        <f>Assumptions!P15*BS!O18</f>
        <v/>
      </c>
    </row>
    <row r="21" ht="15" customHeight="1" s="72">
      <c r="A21" s="103" t="inlineStr">
        <is>
          <t>Profit Before Tax (PBT)</t>
        </is>
      </c>
      <c r="B21" s="109">
        <f>B19+B17-B20</f>
        <v/>
      </c>
      <c r="C21" s="109">
        <f>C19+C17-C20</f>
        <v/>
      </c>
      <c r="D21" s="109">
        <f>D19+D17-D20</f>
        <v/>
      </c>
      <c r="E21" s="109">
        <f>E19+E17-E20</f>
        <v/>
      </c>
      <c r="F21" s="109">
        <f>F19+F17-F20</f>
        <v/>
      </c>
      <c r="G21" s="109">
        <f>G19+G17-G20</f>
        <v/>
      </c>
      <c r="H21" s="109">
        <f>H19+H17-H20</f>
        <v/>
      </c>
      <c r="I21" s="109">
        <f>I19+I17-I20</f>
        <v/>
      </c>
      <c r="J21" s="109">
        <f>J19+J17-J20</f>
        <v/>
      </c>
      <c r="K21" s="109">
        <f>K19+K17-K20</f>
        <v/>
      </c>
      <c r="L21" s="109">
        <f>L19+L17-L20</f>
        <v/>
      </c>
      <c r="M21" s="109">
        <f>M19+M17-M20</f>
        <v/>
      </c>
      <c r="N21" s="109">
        <f>N19+N17-N20</f>
        <v/>
      </c>
      <c r="O21" s="109">
        <f>O19+O17-O20</f>
        <v/>
      </c>
      <c r="P21" s="109">
        <f>P19+P17-P20</f>
        <v/>
      </c>
    </row>
    <row r="22" ht="15" customHeight="1" s="72">
      <c r="A22" s="78" t="inlineStr">
        <is>
          <t>Less: Tax Expense</t>
        </is>
      </c>
      <c r="B22" s="146" t="n">
        <v>1211.57</v>
      </c>
      <c r="C22" s="146" t="n">
        <v>911.04</v>
      </c>
      <c r="D22" s="146" t="n">
        <v>600.88</v>
      </c>
      <c r="E22" s="146" t="n">
        <v>822.8</v>
      </c>
      <c r="F22" s="146" t="n">
        <v>514.6900000000001</v>
      </c>
      <c r="G22" s="146" t="n">
        <v>1075.5</v>
      </c>
      <c r="H22" s="146" t="n">
        <v>847.59</v>
      </c>
      <c r="I22" s="146" t="n">
        <v>1439.45</v>
      </c>
      <c r="J22" s="146" t="n">
        <v>2772.03</v>
      </c>
      <c r="K22" s="146" t="n">
        <v>3554.36</v>
      </c>
      <c r="L22" s="100">
        <f>Assumptions!L10*L21</f>
        <v/>
      </c>
      <c r="M22" s="100">
        <f>Assumptions!M10*M21</f>
        <v/>
      </c>
      <c r="N22" s="100">
        <f>Assumptions!N10*N21</f>
        <v/>
      </c>
      <c r="O22" s="100">
        <f>Assumptions!O10*O21</f>
        <v/>
      </c>
      <c r="P22" s="100">
        <f>Assumptions!P10*P21</f>
        <v/>
      </c>
    </row>
    <row r="23" ht="15" customHeight="1" s="72">
      <c r="A23" s="105" t="inlineStr">
        <is>
          <t xml:space="preserve">  Effective Tax Rate %</t>
        </is>
      </c>
      <c r="B23" s="106">
        <f>B22/B21</f>
        <v/>
      </c>
      <c r="C23" s="106">
        <f>C22/C21</f>
        <v/>
      </c>
      <c r="D23" s="106">
        <f>D22/D21</f>
        <v/>
      </c>
      <c r="E23" s="106">
        <f>E22/E21</f>
        <v/>
      </c>
      <c r="F23" s="106">
        <f>F22/F21</f>
        <v/>
      </c>
      <c r="G23" s="106">
        <f>G22/G21</f>
        <v/>
      </c>
      <c r="H23" s="106">
        <f>H22/H21</f>
        <v/>
      </c>
      <c r="I23" s="106">
        <f>I22/I21</f>
        <v/>
      </c>
      <c r="J23" s="106">
        <f>J22/J21</f>
        <v/>
      </c>
      <c r="K23" s="106">
        <f>K22/K21</f>
        <v/>
      </c>
      <c r="L23" s="106">
        <f>L22/L21</f>
        <v/>
      </c>
      <c r="M23" s="106">
        <f>M22/M21</f>
        <v/>
      </c>
      <c r="N23" s="106">
        <f>N22/N21</f>
        <v/>
      </c>
      <c r="O23" s="106">
        <f>O22/O21</f>
        <v/>
      </c>
      <c r="P23" s="106">
        <f>P22/P21</f>
        <v/>
      </c>
    </row>
    <row r="24" ht="15" customHeight="1" s="72">
      <c r="A24" s="103" t="inlineStr">
        <is>
          <t>Net Profit After Tax (PAT)</t>
        </is>
      </c>
      <c r="B24" s="110">
        <f>B21-B22</f>
        <v/>
      </c>
      <c r="C24" s="110">
        <f>C21-C22</f>
        <v/>
      </c>
      <c r="D24" s="110">
        <f>D21-D22</f>
        <v/>
      </c>
      <c r="E24" s="110">
        <f>E21-E22</f>
        <v/>
      </c>
      <c r="F24" s="110">
        <f>F21-F22</f>
        <v/>
      </c>
      <c r="G24" s="110">
        <f>G21-G22</f>
        <v/>
      </c>
      <c r="H24" s="110">
        <f>H21-H22</f>
        <v/>
      </c>
      <c r="I24" s="110">
        <f>I21-I22</f>
        <v/>
      </c>
      <c r="J24" s="110">
        <f>J21-J22</f>
        <v/>
      </c>
      <c r="K24" s="110">
        <f>K21-K22</f>
        <v/>
      </c>
      <c r="L24" s="110">
        <f>L21-L22</f>
        <v/>
      </c>
      <c r="M24" s="110">
        <f>M21-M22</f>
        <v/>
      </c>
      <c r="N24" s="110">
        <f>N21-N22</f>
        <v/>
      </c>
      <c r="O24" s="110">
        <f>O21-O22</f>
        <v/>
      </c>
      <c r="P24" s="110">
        <f>P21-P22</f>
        <v/>
      </c>
    </row>
    <row r="25" ht="15" customHeight="1" s="72">
      <c r="A25" s="105" t="inlineStr">
        <is>
          <t xml:space="preserve">  Net Profit Margin %</t>
        </is>
      </c>
      <c r="B25" s="106">
        <f>B24/B6</f>
        <v/>
      </c>
      <c r="C25" s="106">
        <f>C24/C6</f>
        <v/>
      </c>
      <c r="D25" s="106">
        <f>D24/D6</f>
        <v/>
      </c>
      <c r="E25" s="106">
        <f>E24/E6</f>
        <v/>
      </c>
      <c r="F25" s="106">
        <f>F24/F6</f>
        <v/>
      </c>
      <c r="G25" s="106">
        <f>G24/G6</f>
        <v/>
      </c>
      <c r="H25" s="106">
        <f>H24/H6</f>
        <v/>
      </c>
      <c r="I25" s="106">
        <f>I24/I6</f>
        <v/>
      </c>
      <c r="J25" s="106">
        <f>J24/J6</f>
        <v/>
      </c>
      <c r="K25" s="106">
        <f>K24/K6</f>
        <v/>
      </c>
      <c r="L25" s="106">
        <f>L24/L6</f>
        <v/>
      </c>
      <c r="M25" s="106">
        <f>M24/M6</f>
        <v/>
      </c>
      <c r="N25" s="106">
        <f>N24/N6</f>
        <v/>
      </c>
      <c r="O25" s="106">
        <f>O24/O6</f>
        <v/>
      </c>
      <c r="P25" s="106">
        <f>P24/P6</f>
        <v/>
      </c>
    </row>
    <row r="26" ht="15" customHeight="1" s="72">
      <c r="A26" s="78" t="inlineStr">
        <is>
          <t>Dividends Paid</t>
        </is>
      </c>
      <c r="B26" s="146" t="n">
        <v>839.76</v>
      </c>
      <c r="C26" s="146" t="n">
        <v>479.86</v>
      </c>
      <c r="D26" s="146" t="n">
        <v>659.8099999999999</v>
      </c>
      <c r="E26" s="146" t="n">
        <v>959.72</v>
      </c>
      <c r="F26" s="146" t="n">
        <v>1799.48</v>
      </c>
      <c r="G26" s="146" t="n">
        <v>2399.3</v>
      </c>
      <c r="H26" s="146" t="n">
        <v>2759.2</v>
      </c>
      <c r="I26" s="146" t="n">
        <v>3239.06</v>
      </c>
      <c r="J26" s="146" t="n">
        <v>3838.88</v>
      </c>
      <c r="K26" s="146" t="n">
        <v>3838.88</v>
      </c>
      <c r="L26" s="100">
        <f>Assumptions!L14*L24</f>
        <v/>
      </c>
      <c r="M26" s="100">
        <f>Assumptions!M14*M24</f>
        <v/>
      </c>
      <c r="N26" s="100">
        <f>Assumptions!N14*N24</f>
        <v/>
      </c>
      <c r="O26" s="100">
        <f>Assumptions!O14*O24</f>
        <v/>
      </c>
      <c r="P26" s="100">
        <f>Assumptions!P14*P24</f>
        <v/>
      </c>
    </row>
    <row r="27" ht="15" customHeight="1" s="72">
      <c r="A27" s="78" t="inlineStr">
        <is>
          <t>Retained Earnings</t>
        </is>
      </c>
      <c r="B27" s="100">
        <f>B24-B26</f>
        <v/>
      </c>
      <c r="C27" s="100">
        <f>C24-C26</f>
        <v/>
      </c>
      <c r="D27" s="100">
        <f>D24-D26</f>
        <v/>
      </c>
      <c r="E27" s="100">
        <f>E24-E26</f>
        <v/>
      </c>
      <c r="F27" s="100">
        <f>F24-F26</f>
        <v/>
      </c>
      <c r="G27" s="100">
        <f>G24-G26</f>
        <v/>
      </c>
      <c r="H27" s="100">
        <f>H24-H26</f>
        <v/>
      </c>
      <c r="I27" s="100">
        <f>I24-I26</f>
        <v/>
      </c>
      <c r="J27" s="100">
        <f>J24-J26</f>
        <v/>
      </c>
      <c r="K27" s="100">
        <f>K24-K26</f>
        <v/>
      </c>
      <c r="L27" s="100">
        <f>L24-L26</f>
        <v/>
      </c>
      <c r="M27" s="100">
        <f>M24-M26</f>
        <v/>
      </c>
      <c r="N27" s="100">
        <f>N24-N26</f>
        <v/>
      </c>
      <c r="O27" s="100">
        <f>O24-O26</f>
        <v/>
      </c>
      <c r="P27" s="100">
        <f>P24-P26</f>
        <v/>
      </c>
    </row>
    <row r="29" ht="18" customHeight="1" s="72">
      <c r="A29" s="77" t="inlineStr">
        <is>
          <t>PER SHARE DATA</t>
        </is>
      </c>
    </row>
    <row r="30" ht="15" customHeight="1" s="72">
      <c r="A30" s="76" t="inlineStr">
        <is>
          <t>Weighted Avg. Shares Outstanding (Cr)</t>
        </is>
      </c>
      <c r="B30" s="145" t="n">
        <v>239.93</v>
      </c>
      <c r="C30" s="145" t="n">
        <v>239.93</v>
      </c>
      <c r="D30" s="145" t="n">
        <v>239.93</v>
      </c>
      <c r="E30" s="145" t="n">
        <v>239.93</v>
      </c>
      <c r="F30" s="145" t="n">
        <v>239.93</v>
      </c>
      <c r="G30" s="145" t="n">
        <v>239.93</v>
      </c>
      <c r="H30" s="145" t="n">
        <v>239.93</v>
      </c>
      <c r="I30" s="145" t="n">
        <v>239.93</v>
      </c>
      <c r="J30" s="145" t="n">
        <v>239.93</v>
      </c>
      <c r="K30" s="145" t="n">
        <v>239.93</v>
      </c>
      <c r="L30" s="111">
        <f>Assumptions!$C$37</f>
        <v/>
      </c>
      <c r="M30" s="111">
        <f>Assumptions!$C$37</f>
        <v/>
      </c>
      <c r="N30" s="111">
        <f>Assumptions!$C$37</f>
        <v/>
      </c>
      <c r="O30" s="111">
        <f>Assumptions!$C$37</f>
        <v/>
      </c>
      <c r="P30" s="111">
        <f>Assumptions!$C$37</f>
        <v/>
      </c>
    </row>
    <row r="31" ht="15" customHeight="1" s="72">
      <c r="A31" s="103" t="inlineStr">
        <is>
          <t>Earnings Per Share — Basic (₹)</t>
        </is>
      </c>
      <c r="B31" s="112">
        <f>B24/B30</f>
        <v/>
      </c>
      <c r="C31" s="112">
        <f>C24/C30</f>
        <v/>
      </c>
      <c r="D31" s="112">
        <f>D24/D30</f>
        <v/>
      </c>
      <c r="E31" s="112">
        <f>E24/E30</f>
        <v/>
      </c>
      <c r="F31" s="112">
        <f>F24/F30</f>
        <v/>
      </c>
      <c r="G31" s="112">
        <f>G24/G30</f>
        <v/>
      </c>
      <c r="H31" s="112">
        <f>H24/H30</f>
        <v/>
      </c>
      <c r="I31" s="112">
        <f>I24/I30</f>
        <v/>
      </c>
      <c r="J31" s="112">
        <f>J24/J30</f>
        <v/>
      </c>
      <c r="K31" s="112">
        <f>K24/K30</f>
        <v/>
      </c>
      <c r="L31" s="112">
        <f>L24/L30</f>
        <v/>
      </c>
      <c r="M31" s="112">
        <f>M24/M30</f>
        <v/>
      </c>
      <c r="N31" s="112">
        <f>N24/N30</f>
        <v/>
      </c>
      <c r="O31" s="112">
        <f>O24/O30</f>
        <v/>
      </c>
      <c r="P31" s="112">
        <f>P24/P30</f>
        <v/>
      </c>
    </row>
    <row r="32" ht="15" customHeight="1" s="72">
      <c r="A32" s="76" t="inlineStr">
        <is>
          <t>Dividend Per Share (₹)</t>
        </is>
      </c>
      <c r="B32" s="113">
        <f>B26/B30</f>
        <v/>
      </c>
      <c r="C32" s="113">
        <f>C26/C30</f>
        <v/>
      </c>
      <c r="D32" s="113">
        <f>D26/D30</f>
        <v/>
      </c>
      <c r="E32" s="113">
        <f>E26/E30</f>
        <v/>
      </c>
      <c r="F32" s="113">
        <f>F26/F30</f>
        <v/>
      </c>
      <c r="G32" s="113">
        <f>G26/G30</f>
        <v/>
      </c>
      <c r="H32" s="113">
        <f>H26/H30</f>
        <v/>
      </c>
      <c r="I32" s="113">
        <f>I26/I30</f>
        <v/>
      </c>
      <c r="J32" s="113">
        <f>J26/J30</f>
        <v/>
      </c>
      <c r="K32" s="113">
        <f>K26/K30</f>
        <v/>
      </c>
      <c r="L32" s="113">
        <f>L26/L30</f>
        <v/>
      </c>
      <c r="M32" s="113">
        <f>M26/M30</f>
        <v/>
      </c>
      <c r="N32" s="113">
        <f>N26/N30</f>
        <v/>
      </c>
      <c r="O32" s="113">
        <f>O26/O30</f>
        <v/>
      </c>
      <c r="P32" s="113">
        <f>P26/P30</f>
        <v/>
      </c>
    </row>
  </sheetData>
  <mergeCells count="2">
    <mergeCell ref="A29:P29"/>
    <mergeCell ref="A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Balance Sheet</t>
        </is>
      </c>
    </row>
    <row r="2" ht="15" customHeight="1" s="72">
      <c r="A2" s="102" t="inlineStr">
        <is>
          <t>SUN PHARMACEUTICAL INDUSTRIES LTD (Consolidated)</t>
        </is>
      </c>
    </row>
    <row r="4" ht="18" customHeight="1" s="72">
      <c r="A4" s="77" t="inlineStr">
        <is>
          <t>ASSETS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Net Block (Fixed Assets)</t>
        </is>
      </c>
      <c r="B6" s="146" t="n">
        <v>17675.17</v>
      </c>
      <c r="C6" s="146" t="n">
        <v>18852.65</v>
      </c>
      <c r="D6" s="146" t="n">
        <v>21836.54</v>
      </c>
      <c r="E6" s="146" t="n">
        <v>22846.91</v>
      </c>
      <c r="F6" s="146" t="n">
        <v>21552.98</v>
      </c>
      <c r="G6" s="146" t="n">
        <v>22665.16</v>
      </c>
      <c r="H6" s="146" t="n">
        <v>24065.44</v>
      </c>
      <c r="I6" s="146" t="n">
        <v>23248.15</v>
      </c>
      <c r="J6" s="146" t="n">
        <v>22586.28</v>
      </c>
      <c r="K6" s="146" t="n">
        <v>32822.27</v>
      </c>
      <c r="L6" s="100">
        <f>K6+Assumptions!L9*IS!L6-IS!L18</f>
        <v/>
      </c>
      <c r="M6" s="100">
        <f>L6+Assumptions!M9*IS!M6-IS!M18</f>
        <v/>
      </c>
      <c r="N6" s="100">
        <f>M6+Assumptions!N9*IS!N6-IS!N18</f>
        <v/>
      </c>
      <c r="O6" s="100">
        <f>N6+Assumptions!O9*IS!O6-IS!O18</f>
        <v/>
      </c>
      <c r="P6" s="100">
        <f>O6+Assumptions!P9*IS!P6-IS!P18</f>
        <v/>
      </c>
    </row>
    <row r="7" ht="15" customHeight="1" s="72">
      <c r="A7" s="76" t="inlineStr">
        <is>
          <t>Capital Work-in-Progress</t>
        </is>
      </c>
      <c r="B7" s="146" t="n">
        <v>2801.38</v>
      </c>
      <c r="C7" s="146" t="n">
        <v>2465.16</v>
      </c>
      <c r="D7" s="146" t="n">
        <v>1411.15</v>
      </c>
      <c r="E7" s="146" t="n">
        <v>1220.34</v>
      </c>
      <c r="F7" s="146" t="n">
        <v>1566.83</v>
      </c>
      <c r="G7" s="146" t="n">
        <v>1286.8</v>
      </c>
      <c r="H7" s="146" t="n">
        <v>4973.16</v>
      </c>
      <c r="I7" s="146" t="n">
        <v>5353.88</v>
      </c>
      <c r="J7" s="146" t="n">
        <v>6643.96</v>
      </c>
      <c r="K7" s="146" t="n">
        <v>3051.73</v>
      </c>
      <c r="L7" s="100">
        <f>K7</f>
        <v/>
      </c>
      <c r="M7" s="100">
        <f>L7</f>
        <v/>
      </c>
      <c r="N7" s="100">
        <f>M7</f>
        <v/>
      </c>
      <c r="O7" s="100">
        <f>N7</f>
        <v/>
      </c>
      <c r="P7" s="100">
        <f>O7</f>
        <v/>
      </c>
    </row>
    <row r="8" ht="15" customHeight="1" s="72">
      <c r="A8" s="76" t="inlineStr">
        <is>
          <t>Investments</t>
        </is>
      </c>
      <c r="B8" s="146" t="n">
        <v>1191.88</v>
      </c>
      <c r="C8" s="146" t="n">
        <v>7142.87</v>
      </c>
      <c r="D8" s="146" t="n">
        <v>7902.53</v>
      </c>
      <c r="E8" s="146" t="n">
        <v>10143.11</v>
      </c>
      <c r="F8" s="146" t="n">
        <v>9612.450000000001</v>
      </c>
      <c r="G8" s="146" t="n">
        <v>12848.59</v>
      </c>
      <c r="H8" s="146" t="n">
        <v>14824.34</v>
      </c>
      <c r="I8" s="146" t="n">
        <v>15025.77</v>
      </c>
      <c r="J8" s="146" t="n">
        <v>18353.8</v>
      </c>
      <c r="K8" s="146" t="n">
        <v>24722.52</v>
      </c>
      <c r="L8" s="100">
        <f>K8*(1+Assumptions!L6)</f>
        <v/>
      </c>
      <c r="M8" s="100">
        <f>L8*(1+Assumptions!M6)</f>
        <v/>
      </c>
      <c r="N8" s="100">
        <f>M8*(1+Assumptions!N6)</f>
        <v/>
      </c>
      <c r="O8" s="100">
        <f>N8*(1+Assumptions!O6)</f>
        <v/>
      </c>
      <c r="P8" s="100">
        <f>O8*(1+Assumptions!P6)</f>
        <v/>
      </c>
    </row>
    <row r="9" ht="15" customHeight="1" s="72">
      <c r="A9" s="76" t="inlineStr">
        <is>
          <t>Trade Receivables</t>
        </is>
      </c>
      <c r="B9" s="146" t="n">
        <v>7202.61</v>
      </c>
      <c r="C9" s="146" t="n">
        <v>7815.28</v>
      </c>
      <c r="D9" s="146" t="n">
        <v>8884.200000000001</v>
      </c>
      <c r="E9" s="146" t="n">
        <v>9421.24</v>
      </c>
      <c r="F9" s="146" t="n">
        <v>9061.4</v>
      </c>
      <c r="G9" s="146" t="n">
        <v>10484.59</v>
      </c>
      <c r="H9" s="146" t="n">
        <v>11438.51</v>
      </c>
      <c r="I9" s="146" t="n">
        <v>11249.37</v>
      </c>
      <c r="J9" s="146" t="n">
        <v>13046.11</v>
      </c>
      <c r="K9" s="146" t="n">
        <v>15509.67</v>
      </c>
      <c r="L9" s="100">
        <f>Assumptions!L11/365*IS!L6</f>
        <v/>
      </c>
      <c r="M9" s="100">
        <f>Assumptions!M11/365*IS!M6</f>
        <v/>
      </c>
      <c r="N9" s="100">
        <f>Assumptions!N11/365*IS!N6</f>
        <v/>
      </c>
      <c r="O9" s="100">
        <f>Assumptions!O11/365*IS!O6</f>
        <v/>
      </c>
      <c r="P9" s="100">
        <f>Assumptions!P11/365*IS!P6</f>
        <v/>
      </c>
    </row>
    <row r="10" ht="15" customHeight="1" s="72">
      <c r="A10" s="76" t="inlineStr">
        <is>
          <t>Inventory</t>
        </is>
      </c>
      <c r="B10" s="146" t="n">
        <v>6832.81</v>
      </c>
      <c r="C10" s="146" t="n">
        <v>6880.69</v>
      </c>
      <c r="D10" s="146" t="n">
        <v>7885.98</v>
      </c>
      <c r="E10" s="146" t="n">
        <v>7874.99</v>
      </c>
      <c r="F10" s="146" t="n">
        <v>8997.02</v>
      </c>
      <c r="G10" s="146" t="n">
        <v>8925.129999999999</v>
      </c>
      <c r="H10" s="146" t="n">
        <v>10513.05</v>
      </c>
      <c r="I10" s="146" t="n">
        <v>9868.290000000001</v>
      </c>
      <c r="J10" s="146" t="n">
        <v>10243.33</v>
      </c>
      <c r="K10" s="146" t="n">
        <v>11492.93</v>
      </c>
      <c r="L10" s="100">
        <f>K10</f>
        <v/>
      </c>
      <c r="M10" s="100">
        <f>L10</f>
        <v/>
      </c>
      <c r="N10" s="100">
        <f>M10</f>
        <v/>
      </c>
      <c r="O10" s="100">
        <f>N10</f>
        <v/>
      </c>
      <c r="P10" s="100">
        <f>O10</f>
        <v/>
      </c>
    </row>
    <row r="11" ht="15" customHeight="1" s="72">
      <c r="A11" s="76" t="inlineStr">
        <is>
          <t>Cash &amp; Bank Balances</t>
        </is>
      </c>
      <c r="B11" s="146" t="n">
        <v>15140.84</v>
      </c>
      <c r="C11" s="146" t="n">
        <v>9929.379999999999</v>
      </c>
      <c r="D11" s="146" t="n">
        <v>7275.6</v>
      </c>
      <c r="E11" s="146" t="n">
        <v>6487.55</v>
      </c>
      <c r="F11" s="146" t="n">
        <v>6445.51</v>
      </c>
      <c r="G11" s="146" t="n">
        <v>5033.35</v>
      </c>
      <c r="H11" s="146" t="n">
        <v>5770.29</v>
      </c>
      <c r="I11" s="146" t="n">
        <v>10520.68</v>
      </c>
      <c r="J11" s="146" t="n">
        <v>11331.62</v>
      </c>
      <c r="K11" s="146" t="n">
        <v>11603.08</v>
      </c>
      <c r="L11" s="96">
        <f>CF!L30</f>
        <v/>
      </c>
      <c r="M11" s="96">
        <f>CF!M30</f>
        <v/>
      </c>
      <c r="N11" s="96">
        <f>CF!N30</f>
        <v/>
      </c>
      <c r="O11" s="96">
        <f>CF!O30</f>
        <v/>
      </c>
      <c r="P11" s="96">
        <f>CF!P30</f>
        <v/>
      </c>
    </row>
    <row r="12" ht="15" customHeight="1" s="72">
      <c r="A12" s="76" t="inlineStr">
        <is>
          <t>Other Assets, net (unbilled rev., prepaid, DTA, other)</t>
        </is>
      </c>
      <c r="B12" s="146" t="n">
        <v>10250.75999999999</v>
      </c>
      <c r="C12" s="146" t="n">
        <v>11211.36</v>
      </c>
      <c r="D12" s="146" t="n">
        <v>9393.529999999997</v>
      </c>
      <c r="E12" s="146" t="n">
        <v>10200.18</v>
      </c>
      <c r="F12" s="146" t="n">
        <v>10386.03</v>
      </c>
      <c r="G12" s="146" t="n">
        <v>8532.290000000001</v>
      </c>
      <c r="H12" s="146" t="n">
        <v>9127.109999999997</v>
      </c>
      <c r="I12" s="146" t="n">
        <v>10061.64999999999</v>
      </c>
      <c r="J12" s="146" t="n">
        <v>9703.039999999995</v>
      </c>
      <c r="K12" s="146" t="n">
        <v>9205.000000000002</v>
      </c>
      <c r="L12" s="100">
        <f>Assumptions!L13*IS!L6</f>
        <v/>
      </c>
      <c r="M12" s="100">
        <f>Assumptions!M13*IS!M6</f>
        <v/>
      </c>
      <c r="N12" s="100">
        <f>Assumptions!N13*IS!N6</f>
        <v/>
      </c>
      <c r="O12" s="100">
        <f>Assumptions!O13*IS!O6</f>
        <v/>
      </c>
      <c r="P12" s="100">
        <f>Assumptions!P13*IS!P6</f>
        <v/>
      </c>
    </row>
    <row r="13" ht="15" customHeight="1" s="72">
      <c r="A13" s="103" t="inlineStr">
        <is>
          <t>Total Assets</t>
        </is>
      </c>
      <c r="B13" s="110">
        <f>SUM(B6:B12)</f>
        <v/>
      </c>
      <c r="C13" s="110">
        <f>SUM(C6:C12)</f>
        <v/>
      </c>
      <c r="D13" s="110">
        <f>SUM(D6:D12)</f>
        <v/>
      </c>
      <c r="E13" s="110">
        <f>SUM(E6:E12)</f>
        <v/>
      </c>
      <c r="F13" s="110">
        <f>SUM(F6:F12)</f>
        <v/>
      </c>
      <c r="G13" s="110">
        <f>SUM(G6:G12)</f>
        <v/>
      </c>
      <c r="H13" s="110">
        <f>SUM(H6:H12)</f>
        <v/>
      </c>
      <c r="I13" s="110">
        <f>SUM(I6:I12)</f>
        <v/>
      </c>
      <c r="J13" s="110">
        <f>SUM(J6:J12)</f>
        <v/>
      </c>
      <c r="K13" s="110">
        <f>SUM(K6:K12)</f>
        <v/>
      </c>
      <c r="L13" s="110">
        <f>SUM(L6:L12)</f>
        <v/>
      </c>
      <c r="M13" s="110">
        <f>SUM(M6:M12)</f>
        <v/>
      </c>
      <c r="N13" s="110">
        <f>SUM(N6:N12)</f>
        <v/>
      </c>
      <c r="O13" s="110">
        <f>SUM(O6:O12)</f>
        <v/>
      </c>
      <c r="P13" s="110">
        <f>SUM(P6:P12)</f>
        <v/>
      </c>
    </row>
    <row r="15" ht="18" customHeight="1" s="72">
      <c r="A15" s="77" t="inlineStr">
        <is>
          <t>LIABILITIES &amp; EQUITY</t>
        </is>
      </c>
    </row>
    <row r="16" ht="15" customHeight="1" s="72">
      <c r="A16" s="76" t="inlineStr">
        <is>
          <t>Equity Share Capital</t>
        </is>
      </c>
      <c r="B16" s="146" t="n">
        <v>239.93</v>
      </c>
      <c r="C16" s="146" t="n">
        <v>239.93</v>
      </c>
      <c r="D16" s="146" t="n">
        <v>239.93</v>
      </c>
      <c r="E16" s="146" t="n">
        <v>239.93</v>
      </c>
      <c r="F16" s="146" t="n">
        <v>239.93</v>
      </c>
      <c r="G16" s="146" t="n">
        <v>239.93</v>
      </c>
      <c r="H16" s="146" t="n">
        <v>239.93</v>
      </c>
      <c r="I16" s="146" t="n">
        <v>239.93</v>
      </c>
      <c r="J16" s="146" t="n">
        <v>239.93</v>
      </c>
      <c r="K16" s="146" t="n">
        <v>239.93</v>
      </c>
      <c r="L16" s="100">
        <f>K16</f>
        <v/>
      </c>
      <c r="M16" s="100">
        <f>L16</f>
        <v/>
      </c>
      <c r="N16" s="100">
        <f>M16</f>
        <v/>
      </c>
      <c r="O16" s="100">
        <f>N16</f>
        <v/>
      </c>
      <c r="P16" s="100">
        <f>O16</f>
        <v/>
      </c>
    </row>
    <row r="17" ht="15" customHeight="1" s="72">
      <c r="A17" s="76" t="inlineStr">
        <is>
          <t>Reserves &amp; Surplus</t>
        </is>
      </c>
      <c r="B17" s="146" t="n">
        <v>36399.74</v>
      </c>
      <c r="C17" s="146" t="n">
        <v>38074.18</v>
      </c>
      <c r="D17" s="146" t="n">
        <v>41169.13</v>
      </c>
      <c r="E17" s="146" t="n">
        <v>45024.52</v>
      </c>
      <c r="F17" s="146" t="n">
        <v>46222.85</v>
      </c>
      <c r="G17" s="146" t="n">
        <v>47771.29</v>
      </c>
      <c r="H17" s="146" t="n">
        <v>55755.45</v>
      </c>
      <c r="I17" s="146" t="n">
        <v>63426.82</v>
      </c>
      <c r="J17" s="146" t="n">
        <v>71978.09</v>
      </c>
      <c r="K17" s="146" t="n">
        <v>83330.16</v>
      </c>
      <c r="L17" s="96">
        <f>K17+IS!L24-IS!L26</f>
        <v/>
      </c>
      <c r="M17" s="96">
        <f>L17+IS!M24-IS!M26</f>
        <v/>
      </c>
      <c r="N17" s="96">
        <f>M17+IS!N24-IS!N26</f>
        <v/>
      </c>
      <c r="O17" s="96">
        <f>N17+IS!O24-IS!O26</f>
        <v/>
      </c>
      <c r="P17" s="96">
        <f>O17+IS!P24-IS!P26</f>
        <v/>
      </c>
    </row>
    <row r="18" ht="15" customHeight="1" s="72">
      <c r="A18" s="76" t="inlineStr">
        <is>
          <t>Borrowings</t>
        </is>
      </c>
      <c r="B18" s="146" t="n">
        <v>9831.77</v>
      </c>
      <c r="C18" s="146" t="n">
        <v>10385.27</v>
      </c>
      <c r="D18" s="146" t="n">
        <v>10514.36</v>
      </c>
      <c r="E18" s="146" t="n">
        <v>8314.879999999999</v>
      </c>
      <c r="F18" s="146" t="n">
        <v>3868.58</v>
      </c>
      <c r="G18" s="146" t="n">
        <v>1290.3</v>
      </c>
      <c r="H18" s="146" t="n">
        <v>6885.87</v>
      </c>
      <c r="I18" s="146" t="n">
        <v>3273.67</v>
      </c>
      <c r="J18" s="146" t="n">
        <v>2362.19</v>
      </c>
      <c r="K18" s="146" t="n">
        <v>4627.32</v>
      </c>
      <c r="L18" s="100">
        <f>K18</f>
        <v/>
      </c>
      <c r="M18" s="100">
        <f>L18</f>
        <v/>
      </c>
      <c r="N18" s="100">
        <f>M18</f>
        <v/>
      </c>
      <c r="O18" s="100">
        <f>N18</f>
        <v/>
      </c>
      <c r="P18" s="100">
        <f>O18</f>
        <v/>
      </c>
    </row>
    <row r="19" ht="15" customHeight="1" s="72">
      <c r="A19" s="76" t="inlineStr">
        <is>
          <t>Other Liabilities &amp; Provisions</t>
        </is>
      </c>
      <c r="B19" s="146" t="n">
        <v>14624.01</v>
      </c>
      <c r="C19" s="146" t="n">
        <v>15598.01</v>
      </c>
      <c r="D19" s="146" t="n">
        <v>12666.11</v>
      </c>
      <c r="E19" s="146" t="n">
        <v>14614.99</v>
      </c>
      <c r="F19" s="146" t="n">
        <v>17290.86</v>
      </c>
      <c r="G19" s="146" t="n">
        <v>20474.39</v>
      </c>
      <c r="H19" s="146" t="n">
        <v>17830.65</v>
      </c>
      <c r="I19" s="146" t="n">
        <v>18387.37</v>
      </c>
      <c r="J19" s="146" t="n">
        <v>17327.93</v>
      </c>
      <c r="K19" s="146" t="n">
        <v>20209.79</v>
      </c>
      <c r="L19" s="100">
        <f>Assumptions!L12*IS!L6</f>
        <v/>
      </c>
      <c r="M19" s="100">
        <f>Assumptions!M12*IS!M6</f>
        <v/>
      </c>
      <c r="N19" s="100">
        <f>Assumptions!N12*IS!N6</f>
        <v/>
      </c>
      <c r="O19" s="100">
        <f>Assumptions!O12*IS!O6</f>
        <v/>
      </c>
      <c r="P19" s="100">
        <f>Assumptions!P12*IS!P6</f>
        <v/>
      </c>
    </row>
    <row r="20" ht="15" customHeight="1" s="72">
      <c r="A20" s="103" t="inlineStr">
        <is>
          <t>Total Liabilities &amp; Equity</t>
        </is>
      </c>
      <c r="B20" s="110">
        <f>SUM(B16:B19)</f>
        <v/>
      </c>
      <c r="C20" s="110">
        <f>SUM(C16:C19)</f>
        <v/>
      </c>
      <c r="D20" s="110">
        <f>SUM(D16:D19)</f>
        <v/>
      </c>
      <c r="E20" s="110">
        <f>SUM(E16:E19)</f>
        <v/>
      </c>
      <c r="F20" s="110">
        <f>SUM(F16:F19)</f>
        <v/>
      </c>
      <c r="G20" s="110">
        <f>SUM(G16:G19)</f>
        <v/>
      </c>
      <c r="H20" s="110">
        <f>SUM(H16:H19)</f>
        <v/>
      </c>
      <c r="I20" s="110">
        <f>SUM(I16:I19)</f>
        <v/>
      </c>
      <c r="J20" s="110">
        <f>SUM(J16:J19)</f>
        <v/>
      </c>
      <c r="K20" s="110">
        <f>SUM(K16:K19)</f>
        <v/>
      </c>
      <c r="L20" s="110">
        <f>SUM(L16:L19)</f>
        <v/>
      </c>
      <c r="M20" s="110">
        <f>SUM(M16:M19)</f>
        <v/>
      </c>
      <c r="N20" s="110">
        <f>SUM(N16:N19)</f>
        <v/>
      </c>
      <c r="O20" s="110">
        <f>SUM(O16:O19)</f>
        <v/>
      </c>
      <c r="P20" s="110">
        <f>SUM(P16:P19)</f>
        <v/>
      </c>
    </row>
    <row r="22" ht="15" customHeight="1" s="72">
      <c r="A22" s="114" t="inlineStr">
        <is>
          <t>Balance Check (Assets − Liab. &amp; Equity)</t>
        </is>
      </c>
      <c r="B22" s="115">
        <f>B13-B20</f>
        <v/>
      </c>
      <c r="C22" s="115">
        <f>C13-C20</f>
        <v/>
      </c>
      <c r="D22" s="115">
        <f>D13-D20</f>
        <v/>
      </c>
      <c r="E22" s="115">
        <f>E13-E20</f>
        <v/>
      </c>
      <c r="F22" s="115">
        <f>F13-F20</f>
        <v/>
      </c>
      <c r="G22" s="115">
        <f>G13-G20</f>
        <v/>
      </c>
      <c r="H22" s="115">
        <f>H13-H20</f>
        <v/>
      </c>
      <c r="I22" s="115">
        <f>I13-I20</f>
        <v/>
      </c>
      <c r="J22" s="115">
        <f>J13-J20</f>
        <v/>
      </c>
      <c r="K22" s="115">
        <f>K13-K20</f>
        <v/>
      </c>
      <c r="L22" s="115">
        <f>L13-L20</f>
        <v/>
      </c>
      <c r="M22" s="115">
        <f>M13-M20</f>
        <v/>
      </c>
      <c r="N22" s="115">
        <f>N13-N20</f>
        <v/>
      </c>
      <c r="O22" s="115">
        <f>O13-O20</f>
        <v/>
      </c>
      <c r="P22" s="115">
        <f>P13-P20</f>
        <v/>
      </c>
    </row>
    <row r="24" ht="18" customHeight="1" s="72">
      <c r="A24" s="77" t="inlineStr">
        <is>
          <t>WORKING CAPITAL &amp; OTHER MEMO ITEMS</t>
        </is>
      </c>
    </row>
    <row r="25" ht="15" customHeight="1" s="72">
      <c r="A25" s="76" t="inlineStr">
        <is>
          <t>Net Working Capital (Receiv. + Inv. − Other Liab.)</t>
        </is>
      </c>
      <c r="B25" s="100">
        <f>B9+B10-B19</f>
        <v/>
      </c>
      <c r="C25" s="100">
        <f>C9+C10-C19</f>
        <v/>
      </c>
      <c r="D25" s="100">
        <f>D9+D10-D19</f>
        <v/>
      </c>
      <c r="E25" s="100">
        <f>E9+E10-E19</f>
        <v/>
      </c>
      <c r="F25" s="100">
        <f>F9+F10-F19</f>
        <v/>
      </c>
      <c r="G25" s="100">
        <f>G9+G10-G19</f>
        <v/>
      </c>
      <c r="H25" s="100">
        <f>H9+H10-H19</f>
        <v/>
      </c>
      <c r="I25" s="100">
        <f>I9+I10-I19</f>
        <v/>
      </c>
      <c r="J25" s="100">
        <f>J9+J10-J19</f>
        <v/>
      </c>
      <c r="K25" s="100">
        <f>K9+K10-K19</f>
        <v/>
      </c>
      <c r="L25" s="100">
        <f>L9+L10-L19</f>
        <v/>
      </c>
      <c r="M25" s="100">
        <f>M9+M10-M19</f>
        <v/>
      </c>
      <c r="N25" s="100">
        <f>N9+N10-N19</f>
        <v/>
      </c>
      <c r="O25" s="100">
        <f>O9+O10-O19</f>
        <v/>
      </c>
      <c r="P25" s="100">
        <f>P9+P10-P19</f>
        <v/>
      </c>
    </row>
    <row r="26" ht="15" customHeight="1" s="72">
      <c r="A26" s="76" t="inlineStr">
        <is>
          <t>Net Debt / (Net Cash)</t>
        </is>
      </c>
      <c r="B26" s="100">
        <f>B18-B11-B8</f>
        <v/>
      </c>
      <c r="C26" s="100">
        <f>C18-C11-C8</f>
        <v/>
      </c>
      <c r="D26" s="100">
        <f>D18-D11-D8</f>
        <v/>
      </c>
      <c r="E26" s="100">
        <f>E18-E11-E8</f>
        <v/>
      </c>
      <c r="F26" s="100">
        <f>F18-F11-F8</f>
        <v/>
      </c>
      <c r="G26" s="100">
        <f>G18-G11-G8</f>
        <v/>
      </c>
      <c r="H26" s="100">
        <f>H18-H11-H8</f>
        <v/>
      </c>
      <c r="I26" s="100">
        <f>I18-I11-I8</f>
        <v/>
      </c>
      <c r="J26" s="100">
        <f>J18-J11-J8</f>
        <v/>
      </c>
      <c r="K26" s="100">
        <f>K18-K11-K8</f>
        <v/>
      </c>
      <c r="L26" s="100">
        <f>L18-L11-L8</f>
        <v/>
      </c>
      <c r="M26" s="100">
        <f>M18-M11-M8</f>
        <v/>
      </c>
      <c r="N26" s="100">
        <f>N18-N11-N8</f>
        <v/>
      </c>
      <c r="O26" s="100">
        <f>O18-O11-O8</f>
        <v/>
      </c>
      <c r="P26" s="100">
        <f>P18-P11-P8</f>
        <v/>
      </c>
    </row>
    <row r="27" ht="15" customHeight="1" s="72">
      <c r="A27" s="76" t="inlineStr">
        <is>
          <t>Book Value Per Share (₹)</t>
        </is>
      </c>
      <c r="B27" s="116">
        <f>(B16+B17)/IS!B30</f>
        <v/>
      </c>
      <c r="C27" s="116">
        <f>(C16+C17)/IS!C30</f>
        <v/>
      </c>
      <c r="D27" s="116">
        <f>(D16+D17)/IS!D30</f>
        <v/>
      </c>
      <c r="E27" s="116">
        <f>(E16+E17)/IS!E30</f>
        <v/>
      </c>
      <c r="F27" s="116">
        <f>(F16+F17)/IS!F30</f>
        <v/>
      </c>
      <c r="G27" s="116">
        <f>(G16+G17)/IS!G30</f>
        <v/>
      </c>
      <c r="H27" s="116">
        <f>(H16+H17)/IS!H30</f>
        <v/>
      </c>
      <c r="I27" s="116">
        <f>(I16+I17)/IS!I30</f>
        <v/>
      </c>
      <c r="J27" s="116">
        <f>(J16+J17)/IS!J30</f>
        <v/>
      </c>
      <c r="K27" s="116">
        <f>(K16+K17)/IS!K30</f>
        <v/>
      </c>
      <c r="L27" s="116">
        <f>(L16+L17)/IS!L30</f>
        <v/>
      </c>
      <c r="M27" s="116">
        <f>(M16+M17)/IS!M30</f>
        <v/>
      </c>
      <c r="N27" s="116">
        <f>(N16+N17)/IS!N30</f>
        <v/>
      </c>
      <c r="O27" s="116">
        <f>(O16+O17)/IS!O30</f>
        <v/>
      </c>
      <c r="P27" s="116">
        <f>(P16+P17)/IS!P30</f>
        <v/>
      </c>
    </row>
  </sheetData>
  <mergeCells count="3">
    <mergeCell ref="A15:P15"/>
    <mergeCell ref="A4:P4"/>
    <mergeCell ref="A24:P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2E5395"/>
    <outlinePr summaryBelow="1" summaryRight="1"/>
    <pageSetUpPr fitToPage="0"/>
  </sheetPr>
  <dimension ref="A1:P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Cash Flow Statement</t>
        </is>
      </c>
    </row>
    <row r="2" ht="15" customHeight="1" s="72">
      <c r="A2" s="102" t="inlineStr">
        <is>
          <t>SUN PHARMACEUTICAL INDUSTRIES LTD (Consolidated)</t>
        </is>
      </c>
    </row>
    <row r="4" ht="18" customHeight="1" s="72">
      <c r="A4" s="77" t="inlineStr">
        <is>
          <t>A. CASH FLOW — AS REPORTED (HISTORICAL ACTUALS)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Cash Flow from Operating Activities</t>
        </is>
      </c>
      <c r="B6" s="146" t="n">
        <v>7082.21</v>
      </c>
      <c r="C6" s="146" t="n">
        <v>3907.15</v>
      </c>
      <c r="D6" s="146" t="n">
        <v>2196.45</v>
      </c>
      <c r="E6" s="146" t="n">
        <v>6554.77</v>
      </c>
      <c r="F6" s="146" t="n">
        <v>6170.37</v>
      </c>
      <c r="G6" s="146" t="n">
        <v>8984.540000000001</v>
      </c>
      <c r="H6" s="146" t="n">
        <v>4959.33</v>
      </c>
      <c r="I6" s="146" t="n">
        <v>12134.98</v>
      </c>
      <c r="J6" s="146" t="n">
        <v>14072.09</v>
      </c>
      <c r="K6" s="146" t="n">
        <v>12419.18</v>
      </c>
      <c r="L6" s="117" t="inlineStr">
        <is>
          <t>—</t>
        </is>
      </c>
      <c r="M6" s="117" t="inlineStr">
        <is>
          <t>—</t>
        </is>
      </c>
      <c r="N6" s="117" t="inlineStr">
        <is>
          <t>—</t>
        </is>
      </c>
      <c r="O6" s="117" t="inlineStr">
        <is>
          <t>—</t>
        </is>
      </c>
      <c r="P6" s="117" t="inlineStr">
        <is>
          <t>—</t>
        </is>
      </c>
    </row>
    <row r="7" ht="15" customHeight="1" s="72">
      <c r="A7" s="76" t="inlineStr">
        <is>
          <t>Cash Flow from Investing Activities</t>
        </is>
      </c>
      <c r="B7" s="146" t="n">
        <v>-4186.15</v>
      </c>
      <c r="C7" s="146" t="n">
        <v>-3103.8</v>
      </c>
      <c r="D7" s="146" t="n">
        <v>-310.08</v>
      </c>
      <c r="E7" s="146" t="n">
        <v>-2225.32</v>
      </c>
      <c r="F7" s="146" t="n">
        <v>406.53</v>
      </c>
      <c r="G7" s="146" t="n">
        <v>-5555.86</v>
      </c>
      <c r="H7" s="146" t="n">
        <v>-7219.92</v>
      </c>
      <c r="I7" s="146" t="n">
        <v>-762.9</v>
      </c>
      <c r="J7" s="146" t="n">
        <v>-5183.15</v>
      </c>
      <c r="K7" s="146" t="n">
        <v>-10404.89</v>
      </c>
      <c r="L7" s="117" t="inlineStr">
        <is>
          <t>—</t>
        </is>
      </c>
      <c r="M7" s="117" t="inlineStr">
        <is>
          <t>—</t>
        </is>
      </c>
      <c r="N7" s="117" t="inlineStr">
        <is>
          <t>—</t>
        </is>
      </c>
      <c r="O7" s="117" t="inlineStr">
        <is>
          <t>—</t>
        </is>
      </c>
      <c r="P7" s="117" t="inlineStr">
        <is>
          <t>—</t>
        </is>
      </c>
    </row>
    <row r="8" ht="15" customHeight="1" s="72">
      <c r="A8" s="76" t="inlineStr">
        <is>
          <t>Cash Flow from Financing Activities</t>
        </is>
      </c>
      <c r="B8" s="146" t="n">
        <v>-2285.39</v>
      </c>
      <c r="C8" s="146" t="n">
        <v>-1539.26</v>
      </c>
      <c r="D8" s="146" t="n">
        <v>-2730.52</v>
      </c>
      <c r="E8" s="146" t="n">
        <v>-5715.14</v>
      </c>
      <c r="F8" s="146" t="n">
        <v>-5980.48</v>
      </c>
      <c r="G8" s="146" t="n">
        <v>-5193.46</v>
      </c>
      <c r="H8" s="146" t="n">
        <v>2376.07</v>
      </c>
      <c r="I8" s="146" t="n">
        <v>-6710.16</v>
      </c>
      <c r="J8" s="146" t="n">
        <v>-7905.82</v>
      </c>
      <c r="K8" s="146" t="n">
        <v>-2512.55</v>
      </c>
      <c r="L8" s="117" t="inlineStr">
        <is>
          <t>—</t>
        </is>
      </c>
      <c r="M8" s="117" t="inlineStr">
        <is>
          <t>—</t>
        </is>
      </c>
      <c r="N8" s="117" t="inlineStr">
        <is>
          <t>—</t>
        </is>
      </c>
      <c r="O8" s="117" t="inlineStr">
        <is>
          <t>—</t>
        </is>
      </c>
      <c r="P8" s="117" t="inlineStr">
        <is>
          <t>—</t>
        </is>
      </c>
    </row>
    <row r="9" ht="15" customHeight="1" s="72">
      <c r="A9" s="103" t="inlineStr">
        <is>
          <t>Net Increase / (Decrease) in Cash</t>
        </is>
      </c>
      <c r="B9" s="104">
        <f>SUM(B6:B8)</f>
        <v/>
      </c>
      <c r="C9" s="104">
        <f>SUM(C6:C8)</f>
        <v/>
      </c>
      <c r="D9" s="104">
        <f>SUM(D6:D8)</f>
        <v/>
      </c>
      <c r="E9" s="104">
        <f>SUM(E6:E8)</f>
        <v/>
      </c>
      <c r="F9" s="104">
        <f>SUM(F6:F8)</f>
        <v/>
      </c>
      <c r="G9" s="104">
        <f>SUM(G6:G8)</f>
        <v/>
      </c>
      <c r="H9" s="104">
        <f>SUM(H6:H8)</f>
        <v/>
      </c>
      <c r="I9" s="104">
        <f>SUM(I6:I8)</f>
        <v/>
      </c>
      <c r="J9" s="104">
        <f>SUM(J6:J8)</f>
        <v/>
      </c>
      <c r="K9" s="104">
        <f>SUM(K6:K8)</f>
        <v/>
      </c>
      <c r="L9" s="117" t="inlineStr">
        <is>
          <t>—</t>
        </is>
      </c>
      <c r="M9" s="117" t="inlineStr">
        <is>
          <t>—</t>
        </is>
      </c>
      <c r="N9" s="117" t="inlineStr">
        <is>
          <t>—</t>
        </is>
      </c>
      <c r="O9" s="117" t="inlineStr">
        <is>
          <t>—</t>
        </is>
      </c>
      <c r="P9" s="117" t="inlineStr">
        <is>
          <t>—</t>
        </is>
      </c>
    </row>
    <row r="10" ht="15" customHeight="1" s="72">
      <c r="A10" s="76" t="inlineStr">
        <is>
          <t>Opening Cash Balance</t>
        </is>
      </c>
      <c r="B10" s="117" t="inlineStr">
        <is>
          <t>n/a</t>
        </is>
      </c>
      <c r="C10" s="96">
        <f>BS!B11</f>
        <v/>
      </c>
      <c r="D10" s="96">
        <f>BS!C11</f>
        <v/>
      </c>
      <c r="E10" s="96">
        <f>BS!D11</f>
        <v/>
      </c>
      <c r="F10" s="96">
        <f>BS!E11</f>
        <v/>
      </c>
      <c r="G10" s="96">
        <f>BS!F11</f>
        <v/>
      </c>
      <c r="H10" s="96">
        <f>BS!G11</f>
        <v/>
      </c>
      <c r="I10" s="96">
        <f>BS!H11</f>
        <v/>
      </c>
      <c r="J10" s="96">
        <f>BS!I11</f>
        <v/>
      </c>
      <c r="K10" s="96">
        <f>BS!J11</f>
        <v/>
      </c>
      <c r="L10" s="117" t="inlineStr">
        <is>
          <t>—</t>
        </is>
      </c>
      <c r="M10" s="117" t="inlineStr">
        <is>
          <t>—</t>
        </is>
      </c>
      <c r="N10" s="117" t="inlineStr">
        <is>
          <t>—</t>
        </is>
      </c>
      <c r="O10" s="117" t="inlineStr">
        <is>
          <t>—</t>
        </is>
      </c>
      <c r="P10" s="117" t="inlineStr">
        <is>
          <t>—</t>
        </is>
      </c>
    </row>
    <row r="11" ht="15" customHeight="1" s="72">
      <c r="A11" s="114" t="inlineStr">
        <is>
          <t>Closing Cash Balance (check vs. Balance Sheet)</t>
        </is>
      </c>
      <c r="B11" s="117" t="inlineStr">
        <is>
          <t>n/a</t>
        </is>
      </c>
      <c r="C11" s="115">
        <f>C10+C9-BS!C11</f>
        <v/>
      </c>
      <c r="D11" s="115">
        <f>D10+D9-BS!D11</f>
        <v/>
      </c>
      <c r="E11" s="115">
        <f>E10+E9-BS!E11</f>
        <v/>
      </c>
      <c r="F11" s="115">
        <f>F10+F9-BS!F11</f>
        <v/>
      </c>
      <c r="G11" s="115">
        <f>G10+G9-BS!G11</f>
        <v/>
      </c>
      <c r="H11" s="115">
        <f>H10+H9-BS!H11</f>
        <v/>
      </c>
      <c r="I11" s="115">
        <f>I10+I9-BS!I11</f>
        <v/>
      </c>
      <c r="J11" s="115">
        <f>J10+J9-BS!J11</f>
        <v/>
      </c>
      <c r="K11" s="115">
        <f>K10+K9-BS!K11</f>
        <v/>
      </c>
      <c r="L11" s="117" t="inlineStr">
        <is>
          <t>—</t>
        </is>
      </c>
      <c r="M11" s="117" t="inlineStr">
        <is>
          <t>—</t>
        </is>
      </c>
      <c r="N11" s="117" t="inlineStr">
        <is>
          <t>—</t>
        </is>
      </c>
      <c r="O11" s="117" t="inlineStr">
        <is>
          <t>—</t>
        </is>
      </c>
      <c r="P11" s="117" t="inlineStr">
        <is>
          <t>—</t>
        </is>
      </c>
    </row>
    <row r="13" ht="18" customHeight="1" s="72">
      <c r="A13" s="77" t="inlineStr">
        <is>
          <t>B. CASH FLOW — PROJECTED / MODEL-DERIVED (INDIRECT METHOD, ALL PERIODS)</t>
        </is>
      </c>
    </row>
    <row r="14" ht="15.75" customHeight="1" s="72">
      <c r="A14" s="84" t="inlineStr">
        <is>
          <t>(₹ Crore, unless stated otherwise)</t>
        </is>
      </c>
      <c r="B14" s="85" t="inlineStr">
        <is>
          <t>FY2017</t>
        </is>
      </c>
      <c r="C14" s="85" t="inlineStr">
        <is>
          <t>FY2018</t>
        </is>
      </c>
      <c r="D14" s="85" t="inlineStr">
        <is>
          <t>FY2019</t>
        </is>
      </c>
      <c r="E14" s="85" t="inlineStr">
        <is>
          <t>FY2020</t>
        </is>
      </c>
      <c r="F14" s="85" t="inlineStr">
        <is>
          <t>FY2021</t>
        </is>
      </c>
      <c r="G14" s="85" t="inlineStr">
        <is>
          <t>FY2022</t>
        </is>
      </c>
      <c r="H14" s="85" t="inlineStr">
        <is>
          <t>FY2023</t>
        </is>
      </c>
      <c r="I14" s="85" t="inlineStr">
        <is>
          <t>FY2024</t>
        </is>
      </c>
      <c r="J14" s="85" t="inlineStr">
        <is>
          <t>FY2025</t>
        </is>
      </c>
      <c r="K14" s="85" t="inlineStr">
        <is>
          <t>FY2026</t>
        </is>
      </c>
      <c r="L14" s="85" t="inlineStr">
        <is>
          <t>FY2027E</t>
        </is>
      </c>
      <c r="M14" s="85" t="inlineStr">
        <is>
          <t>FY2028E</t>
        </is>
      </c>
      <c r="N14" s="85" t="inlineStr">
        <is>
          <t>FY2029E</t>
        </is>
      </c>
      <c r="O14" s="85" t="inlineStr">
        <is>
          <t>FY2030E</t>
        </is>
      </c>
      <c r="P14" s="85" t="inlineStr">
        <is>
          <t>FY2031E</t>
        </is>
      </c>
    </row>
    <row r="15" ht="15" customHeight="1" s="72">
      <c r="A15" s="76" t="inlineStr">
        <is>
          <t>Net Profit After Tax</t>
        </is>
      </c>
      <c r="B15" s="96">
        <f>IS!B24</f>
        <v/>
      </c>
      <c r="C15" s="96">
        <f>IS!C24</f>
        <v/>
      </c>
      <c r="D15" s="96">
        <f>IS!D24</f>
        <v/>
      </c>
      <c r="E15" s="96">
        <f>IS!E24</f>
        <v/>
      </c>
      <c r="F15" s="96">
        <f>IS!F24</f>
        <v/>
      </c>
      <c r="G15" s="96">
        <f>IS!G24</f>
        <v/>
      </c>
      <c r="H15" s="96">
        <f>IS!H24</f>
        <v/>
      </c>
      <c r="I15" s="96">
        <f>IS!I24</f>
        <v/>
      </c>
      <c r="J15" s="96">
        <f>IS!J24</f>
        <v/>
      </c>
      <c r="K15" s="96">
        <f>IS!K24</f>
        <v/>
      </c>
      <c r="L15" s="96">
        <f>IS!L24</f>
        <v/>
      </c>
      <c r="M15" s="96">
        <f>IS!M24</f>
        <v/>
      </c>
      <c r="N15" s="96">
        <f>IS!N24</f>
        <v/>
      </c>
      <c r="O15" s="96">
        <f>IS!O24</f>
        <v/>
      </c>
      <c r="P15" s="96">
        <f>IS!P24</f>
        <v/>
      </c>
    </row>
    <row r="16" ht="15" customHeight="1" s="72">
      <c r="A16" s="76" t="inlineStr">
        <is>
          <t>Add: Depreciation &amp; Amortization</t>
        </is>
      </c>
      <c r="B16" s="96">
        <f>IS!B18</f>
        <v/>
      </c>
      <c r="C16" s="96">
        <f>IS!C18</f>
        <v/>
      </c>
      <c r="D16" s="96">
        <f>IS!D18</f>
        <v/>
      </c>
      <c r="E16" s="96">
        <f>IS!E18</f>
        <v/>
      </c>
      <c r="F16" s="96">
        <f>IS!F18</f>
        <v/>
      </c>
      <c r="G16" s="96">
        <f>IS!G18</f>
        <v/>
      </c>
      <c r="H16" s="96">
        <f>IS!H18</f>
        <v/>
      </c>
      <c r="I16" s="96">
        <f>IS!I18</f>
        <v/>
      </c>
      <c r="J16" s="96">
        <f>IS!J18</f>
        <v/>
      </c>
      <c r="K16" s="96">
        <f>IS!K18</f>
        <v/>
      </c>
      <c r="L16" s="96">
        <f>IS!L18</f>
        <v/>
      </c>
      <c r="M16" s="96">
        <f>IS!M18</f>
        <v/>
      </c>
      <c r="N16" s="96">
        <f>IS!N18</f>
        <v/>
      </c>
      <c r="O16" s="96">
        <f>IS!O18</f>
        <v/>
      </c>
      <c r="P16" s="96">
        <f>IS!P18</f>
        <v/>
      </c>
    </row>
    <row r="17" ht="15" customHeight="1" s="72">
      <c r="A17" s="76" t="inlineStr">
        <is>
          <t>Less: (Incr.)/Decr. in Receivables</t>
        </is>
      </c>
      <c r="B17" s="117" t="inlineStr">
        <is>
          <t>n/a</t>
        </is>
      </c>
      <c r="C17" s="96">
        <f>-(BS!C9-BS!B9)</f>
        <v/>
      </c>
      <c r="D17" s="96">
        <f>-(BS!D9-BS!C9)</f>
        <v/>
      </c>
      <c r="E17" s="96">
        <f>-(BS!E9-BS!D9)</f>
        <v/>
      </c>
      <c r="F17" s="96">
        <f>-(BS!F9-BS!E9)</f>
        <v/>
      </c>
      <c r="G17" s="96">
        <f>-(BS!G9-BS!F9)</f>
        <v/>
      </c>
      <c r="H17" s="96">
        <f>-(BS!H9-BS!G9)</f>
        <v/>
      </c>
      <c r="I17" s="96">
        <f>-(BS!I9-BS!H9)</f>
        <v/>
      </c>
      <c r="J17" s="96">
        <f>-(BS!J9-BS!I9)</f>
        <v/>
      </c>
      <c r="K17" s="96">
        <f>-(BS!K9-BS!J9)</f>
        <v/>
      </c>
      <c r="L17" s="96">
        <f>-(BS!L9-BS!K9)</f>
        <v/>
      </c>
      <c r="M17" s="96">
        <f>-(BS!M9-BS!L9)</f>
        <v/>
      </c>
      <c r="N17" s="96">
        <f>-(BS!N9-BS!M9)</f>
        <v/>
      </c>
      <c r="O17" s="96">
        <f>-(BS!O9-BS!N9)</f>
        <v/>
      </c>
      <c r="P17" s="96">
        <f>-(BS!P9-BS!O9)</f>
        <v/>
      </c>
    </row>
    <row r="18" ht="15" customHeight="1" s="72">
      <c r="A18" s="76" t="inlineStr">
        <is>
          <t>Less: (Incr.)/Decr. in Inventory</t>
        </is>
      </c>
      <c r="B18" s="117" t="inlineStr">
        <is>
          <t>n/a</t>
        </is>
      </c>
      <c r="C18" s="96">
        <f>-(BS!C10-BS!B10)</f>
        <v/>
      </c>
      <c r="D18" s="96">
        <f>-(BS!D10-BS!C10)</f>
        <v/>
      </c>
      <c r="E18" s="96">
        <f>-(BS!E10-BS!D10)</f>
        <v/>
      </c>
      <c r="F18" s="96">
        <f>-(BS!F10-BS!E10)</f>
        <v/>
      </c>
      <c r="G18" s="96">
        <f>-(BS!G10-BS!F10)</f>
        <v/>
      </c>
      <c r="H18" s="96">
        <f>-(BS!H10-BS!G10)</f>
        <v/>
      </c>
      <c r="I18" s="96">
        <f>-(BS!I10-BS!H10)</f>
        <v/>
      </c>
      <c r="J18" s="96">
        <f>-(BS!J10-BS!I10)</f>
        <v/>
      </c>
      <c r="K18" s="96">
        <f>-(BS!K10-BS!J10)</f>
        <v/>
      </c>
      <c r="L18" s="96">
        <f>-(BS!L10-BS!K10)</f>
        <v/>
      </c>
      <c r="M18" s="96">
        <f>-(BS!M10-BS!L10)</f>
        <v/>
      </c>
      <c r="N18" s="96">
        <f>-(BS!N10-BS!M10)</f>
        <v/>
      </c>
      <c r="O18" s="96">
        <f>-(BS!O10-BS!N10)</f>
        <v/>
      </c>
      <c r="P18" s="96">
        <f>-(BS!P10-BS!O10)</f>
        <v/>
      </c>
    </row>
    <row r="19" ht="15" customHeight="1" s="72">
      <c r="A19" s="76" t="inlineStr">
        <is>
          <t>Less: (Incr.)/Decr. in Other Assets</t>
        </is>
      </c>
      <c r="B19" s="117" t="inlineStr">
        <is>
          <t>n/a</t>
        </is>
      </c>
      <c r="C19" s="96">
        <f>-(BS!C12-BS!B12)</f>
        <v/>
      </c>
      <c r="D19" s="96">
        <f>-(BS!D12-BS!C12)</f>
        <v/>
      </c>
      <c r="E19" s="96">
        <f>-(BS!E12-BS!D12)</f>
        <v/>
      </c>
      <c r="F19" s="96">
        <f>-(BS!F12-BS!E12)</f>
        <v/>
      </c>
      <c r="G19" s="96">
        <f>-(BS!G12-BS!F12)</f>
        <v/>
      </c>
      <c r="H19" s="96">
        <f>-(BS!H12-BS!G12)</f>
        <v/>
      </c>
      <c r="I19" s="96">
        <f>-(BS!I12-BS!H12)</f>
        <v/>
      </c>
      <c r="J19" s="96">
        <f>-(BS!J12-BS!I12)</f>
        <v/>
      </c>
      <c r="K19" s="96">
        <f>-(BS!K12-BS!J12)</f>
        <v/>
      </c>
      <c r="L19" s="96">
        <f>-(BS!L12-BS!K12)</f>
        <v/>
      </c>
      <c r="M19" s="96">
        <f>-(BS!M12-BS!L12)</f>
        <v/>
      </c>
      <c r="N19" s="96">
        <f>-(BS!N12-BS!M12)</f>
        <v/>
      </c>
      <c r="O19" s="96">
        <f>-(BS!O12-BS!N12)</f>
        <v/>
      </c>
      <c r="P19" s="96">
        <f>-(BS!P12-BS!O12)</f>
        <v/>
      </c>
    </row>
    <row r="20" ht="15" customHeight="1" s="72">
      <c r="A20" s="76" t="inlineStr">
        <is>
          <t>Add: Incr./(Decr.) in Other Liabilities</t>
        </is>
      </c>
      <c r="B20" s="117" t="inlineStr">
        <is>
          <t>n/a</t>
        </is>
      </c>
      <c r="C20" s="96">
        <f>(BS!C19-BS!B19)</f>
        <v/>
      </c>
      <c r="D20" s="96">
        <f>(BS!D19-BS!C19)</f>
        <v/>
      </c>
      <c r="E20" s="96">
        <f>(BS!E19-BS!D19)</f>
        <v/>
      </c>
      <c r="F20" s="96">
        <f>(BS!F19-BS!E19)</f>
        <v/>
      </c>
      <c r="G20" s="96">
        <f>(BS!G19-BS!F19)</f>
        <v/>
      </c>
      <c r="H20" s="96">
        <f>(BS!H19-BS!G19)</f>
        <v/>
      </c>
      <c r="I20" s="96">
        <f>(BS!I19-BS!H19)</f>
        <v/>
      </c>
      <c r="J20" s="96">
        <f>(BS!J19-BS!I19)</f>
        <v/>
      </c>
      <c r="K20" s="96">
        <f>(BS!K19-BS!J19)</f>
        <v/>
      </c>
      <c r="L20" s="96">
        <f>(BS!L19-BS!K19)</f>
        <v/>
      </c>
      <c r="M20" s="96">
        <f>(BS!M19-BS!L19)</f>
        <v/>
      </c>
      <c r="N20" s="96">
        <f>(BS!N19-BS!M19)</f>
        <v/>
      </c>
      <c r="O20" s="96">
        <f>(BS!O19-BS!N19)</f>
        <v/>
      </c>
      <c r="P20" s="96">
        <f>(BS!P19-BS!O19)</f>
        <v/>
      </c>
    </row>
    <row r="21" ht="15" customHeight="1" s="72">
      <c r="A21" s="103" t="inlineStr">
        <is>
          <t>Cash Flow from Operating Activities (derived)</t>
        </is>
      </c>
      <c r="B21" s="118" t="inlineStr">
        <is>
          <t>n/a</t>
        </is>
      </c>
      <c r="C21" s="109">
        <f>SUM(C15:C20)</f>
        <v/>
      </c>
      <c r="D21" s="109">
        <f>SUM(D15:D20)</f>
        <v/>
      </c>
      <c r="E21" s="109">
        <f>SUM(E15:E20)</f>
        <v/>
      </c>
      <c r="F21" s="109">
        <f>SUM(F15:F20)</f>
        <v/>
      </c>
      <c r="G21" s="109">
        <f>SUM(G15:G20)</f>
        <v/>
      </c>
      <c r="H21" s="109">
        <f>SUM(H15:H20)</f>
        <v/>
      </c>
      <c r="I21" s="109">
        <f>SUM(I15:I20)</f>
        <v/>
      </c>
      <c r="J21" s="109">
        <f>SUM(J15:J20)</f>
        <v/>
      </c>
      <c r="K21" s="109">
        <f>SUM(K15:K20)</f>
        <v/>
      </c>
      <c r="L21" s="109">
        <f>SUM(L15:L20)</f>
        <v/>
      </c>
      <c r="M21" s="109">
        <f>SUM(M15:M20)</f>
        <v/>
      </c>
      <c r="N21" s="109">
        <f>SUM(N15:N20)</f>
        <v/>
      </c>
      <c r="O21" s="109">
        <f>SUM(O15:O20)</f>
        <v/>
      </c>
      <c r="P21" s="109">
        <f>SUM(P15:P20)</f>
        <v/>
      </c>
    </row>
    <row r="22" ht="15" customHeight="1" s="72">
      <c r="A22" s="76" t="inlineStr">
        <is>
          <t>Less: Capital Expenditure</t>
        </is>
      </c>
      <c r="B22" s="117" t="inlineStr">
        <is>
          <t>n/a</t>
        </is>
      </c>
      <c r="C22" s="96">
        <f>-((BS!C6+BS!C7)-(BS!B6+BS!B7)+IS!C18)</f>
        <v/>
      </c>
      <c r="D22" s="96">
        <f>-((BS!D6+BS!D7)-(BS!C6+BS!C7)+IS!D18)</f>
        <v/>
      </c>
      <c r="E22" s="96">
        <f>-((BS!E6+BS!E7)-(BS!D6+BS!D7)+IS!E18)</f>
        <v/>
      </c>
      <c r="F22" s="96">
        <f>-((BS!F6+BS!F7)-(BS!E6+BS!E7)+IS!F18)</f>
        <v/>
      </c>
      <c r="G22" s="96">
        <f>-((BS!G6+BS!G7)-(BS!F6+BS!F7)+IS!G18)</f>
        <v/>
      </c>
      <c r="H22" s="96">
        <f>-((BS!H6+BS!H7)-(BS!G6+BS!G7)+IS!H18)</f>
        <v/>
      </c>
      <c r="I22" s="96">
        <f>-((BS!I6+BS!I7)-(BS!H6+BS!H7)+IS!I18)</f>
        <v/>
      </c>
      <c r="J22" s="96">
        <f>-((BS!J6+BS!J7)-(BS!I6+BS!I7)+IS!J18)</f>
        <v/>
      </c>
      <c r="K22" s="96">
        <f>-((BS!K6+BS!K7)-(BS!J6+BS!J7)+IS!K18)</f>
        <v/>
      </c>
      <c r="L22" s="96">
        <f>-((BS!L6+BS!L7)-(BS!K6+BS!K7)+IS!L18)</f>
        <v/>
      </c>
      <c r="M22" s="96">
        <f>-((BS!M6+BS!M7)-(BS!L6+BS!L7)+IS!M18)</f>
        <v/>
      </c>
      <c r="N22" s="96">
        <f>-((BS!N6+BS!N7)-(BS!M6+BS!M7)+IS!N18)</f>
        <v/>
      </c>
      <c r="O22" s="96">
        <f>-((BS!O6+BS!O7)-(BS!N6+BS!N7)+IS!O18)</f>
        <v/>
      </c>
      <c r="P22" s="96">
        <f>-((BS!P6+BS!P7)-(BS!O6+BS!O7)+IS!P18)</f>
        <v/>
      </c>
    </row>
    <row r="23" ht="15" customHeight="1" s="72">
      <c r="A23" s="76" t="inlineStr">
        <is>
          <t>Less: Incr. in Investments</t>
        </is>
      </c>
      <c r="B23" s="117" t="inlineStr">
        <is>
          <t>n/a</t>
        </is>
      </c>
      <c r="C23" s="96">
        <f>-(BS!C8-BS!B8)</f>
        <v/>
      </c>
      <c r="D23" s="96">
        <f>-(BS!D8-BS!C8)</f>
        <v/>
      </c>
      <c r="E23" s="96">
        <f>-(BS!E8-BS!D8)</f>
        <v/>
      </c>
      <c r="F23" s="96">
        <f>-(BS!F8-BS!E8)</f>
        <v/>
      </c>
      <c r="G23" s="96">
        <f>-(BS!G8-BS!F8)</f>
        <v/>
      </c>
      <c r="H23" s="96">
        <f>-(BS!H8-BS!G8)</f>
        <v/>
      </c>
      <c r="I23" s="96">
        <f>-(BS!I8-BS!H8)</f>
        <v/>
      </c>
      <c r="J23" s="96">
        <f>-(BS!J8-BS!I8)</f>
        <v/>
      </c>
      <c r="K23" s="96">
        <f>-(BS!K8-BS!J8)</f>
        <v/>
      </c>
      <c r="L23" s="96">
        <f>-(BS!L8-BS!K8)</f>
        <v/>
      </c>
      <c r="M23" s="96">
        <f>-(BS!M8-BS!L8)</f>
        <v/>
      </c>
      <c r="N23" s="96">
        <f>-(BS!N8-BS!M8)</f>
        <v/>
      </c>
      <c r="O23" s="96">
        <f>-(BS!O8-BS!N8)</f>
        <v/>
      </c>
      <c r="P23" s="96">
        <f>-(BS!P8-BS!O8)</f>
        <v/>
      </c>
    </row>
    <row r="24" ht="15" customHeight="1" s="72">
      <c r="A24" s="103" t="inlineStr">
        <is>
          <t>Cash Flow from Investing Activities (derived)</t>
        </is>
      </c>
      <c r="B24" s="118" t="inlineStr">
        <is>
          <t>n/a</t>
        </is>
      </c>
      <c r="C24" s="109">
        <f>SUM(C22:C23)</f>
        <v/>
      </c>
      <c r="D24" s="109">
        <f>SUM(D22:D23)</f>
        <v/>
      </c>
      <c r="E24" s="109">
        <f>SUM(E22:E23)</f>
        <v/>
      </c>
      <c r="F24" s="109">
        <f>SUM(F22:F23)</f>
        <v/>
      </c>
      <c r="G24" s="109">
        <f>SUM(G22:G23)</f>
        <v/>
      </c>
      <c r="H24" s="109">
        <f>SUM(H22:H23)</f>
        <v/>
      </c>
      <c r="I24" s="109">
        <f>SUM(I22:I23)</f>
        <v/>
      </c>
      <c r="J24" s="109">
        <f>SUM(J22:J23)</f>
        <v/>
      </c>
      <c r="K24" s="109">
        <f>SUM(K22:K23)</f>
        <v/>
      </c>
      <c r="L24" s="109">
        <f>SUM(L22:L23)</f>
        <v/>
      </c>
      <c r="M24" s="109">
        <f>SUM(M22:M23)</f>
        <v/>
      </c>
      <c r="N24" s="109">
        <f>SUM(N22:N23)</f>
        <v/>
      </c>
      <c r="O24" s="109">
        <f>SUM(O22:O23)</f>
        <v/>
      </c>
      <c r="P24" s="109">
        <f>SUM(P22:P23)</f>
        <v/>
      </c>
    </row>
    <row r="25" ht="15" customHeight="1" s="72">
      <c r="A25" s="76" t="inlineStr">
        <is>
          <t>Add: Incr./(Decr.) in Borrowings</t>
        </is>
      </c>
      <c r="B25" s="117" t="inlineStr">
        <is>
          <t>n/a</t>
        </is>
      </c>
      <c r="C25" s="96">
        <f>(BS!C18-BS!B18)</f>
        <v/>
      </c>
      <c r="D25" s="96">
        <f>(BS!D18-BS!C18)</f>
        <v/>
      </c>
      <c r="E25" s="96">
        <f>(BS!E18-BS!D18)</f>
        <v/>
      </c>
      <c r="F25" s="96">
        <f>(BS!F18-BS!E18)</f>
        <v/>
      </c>
      <c r="G25" s="96">
        <f>(BS!G18-BS!F18)</f>
        <v/>
      </c>
      <c r="H25" s="96">
        <f>(BS!H18-BS!G18)</f>
        <v/>
      </c>
      <c r="I25" s="96">
        <f>(BS!I18-BS!H18)</f>
        <v/>
      </c>
      <c r="J25" s="96">
        <f>(BS!J18-BS!I18)</f>
        <v/>
      </c>
      <c r="K25" s="96">
        <f>(BS!K18-BS!J18)</f>
        <v/>
      </c>
      <c r="L25" s="96">
        <f>(BS!L18-BS!K18)</f>
        <v/>
      </c>
      <c r="M25" s="96">
        <f>(BS!M18-BS!L18)</f>
        <v/>
      </c>
      <c r="N25" s="96">
        <f>(BS!N18-BS!M18)</f>
        <v/>
      </c>
      <c r="O25" s="96">
        <f>(BS!O18-BS!N18)</f>
        <v/>
      </c>
      <c r="P25" s="96">
        <f>(BS!P18-BS!O18)</f>
        <v/>
      </c>
    </row>
    <row r="26" ht="15" customHeight="1" s="72">
      <c r="A26" s="76" t="inlineStr">
        <is>
          <t>Less: Dividends Paid</t>
        </is>
      </c>
      <c r="B26" s="96">
        <f>-IS!B26</f>
        <v/>
      </c>
      <c r="C26" s="96">
        <f>-IS!C26</f>
        <v/>
      </c>
      <c r="D26" s="96">
        <f>-IS!D26</f>
        <v/>
      </c>
      <c r="E26" s="96">
        <f>-IS!E26</f>
        <v/>
      </c>
      <c r="F26" s="96">
        <f>-IS!F26</f>
        <v/>
      </c>
      <c r="G26" s="96">
        <f>-IS!G26</f>
        <v/>
      </c>
      <c r="H26" s="96">
        <f>-IS!H26</f>
        <v/>
      </c>
      <c r="I26" s="96">
        <f>-IS!I26</f>
        <v/>
      </c>
      <c r="J26" s="96">
        <f>-IS!J26</f>
        <v/>
      </c>
      <c r="K26" s="96">
        <f>-IS!K26</f>
        <v/>
      </c>
      <c r="L26" s="96">
        <f>-IS!L26</f>
        <v/>
      </c>
      <c r="M26" s="96">
        <f>-IS!M26</f>
        <v/>
      </c>
      <c r="N26" s="96">
        <f>-IS!N26</f>
        <v/>
      </c>
      <c r="O26" s="96">
        <f>-IS!O26</f>
        <v/>
      </c>
      <c r="P26" s="96">
        <f>-IS!P26</f>
        <v/>
      </c>
    </row>
    <row r="27" ht="15" customHeight="1" s="72">
      <c r="A27" s="103" t="inlineStr">
        <is>
          <t>Cash Flow from Financing Activities (derived)</t>
        </is>
      </c>
      <c r="B27" s="118" t="inlineStr">
        <is>
          <t>n/a</t>
        </is>
      </c>
      <c r="C27" s="109">
        <f>SUM(C25:C26)</f>
        <v/>
      </c>
      <c r="D27" s="109">
        <f>SUM(D25:D26)</f>
        <v/>
      </c>
      <c r="E27" s="109">
        <f>SUM(E25:E26)</f>
        <v/>
      </c>
      <c r="F27" s="109">
        <f>SUM(F25:F26)</f>
        <v/>
      </c>
      <c r="G27" s="109">
        <f>SUM(G25:G26)</f>
        <v/>
      </c>
      <c r="H27" s="109">
        <f>SUM(H25:H26)</f>
        <v/>
      </c>
      <c r="I27" s="109">
        <f>SUM(I25:I26)</f>
        <v/>
      </c>
      <c r="J27" s="109">
        <f>SUM(J25:J26)</f>
        <v/>
      </c>
      <c r="K27" s="109">
        <f>SUM(K25:K26)</f>
        <v/>
      </c>
      <c r="L27" s="109">
        <f>SUM(L25:L26)</f>
        <v/>
      </c>
      <c r="M27" s="109">
        <f>SUM(M25:M26)</f>
        <v/>
      </c>
      <c r="N27" s="109">
        <f>SUM(N25:N26)</f>
        <v/>
      </c>
      <c r="O27" s="109">
        <f>SUM(O25:O26)</f>
        <v/>
      </c>
      <c r="P27" s="109">
        <f>SUM(P25:P26)</f>
        <v/>
      </c>
    </row>
    <row r="28" ht="15" customHeight="1" s="72">
      <c r="A28" s="103" t="inlineStr">
        <is>
          <t>Net Increase / (Decrease) in Cash (derived)</t>
        </is>
      </c>
      <c r="B28" s="117" t="inlineStr">
        <is>
          <t>n/a</t>
        </is>
      </c>
      <c r="C28" s="104">
        <f>C21+C24+C27</f>
        <v/>
      </c>
      <c r="D28" s="104">
        <f>D21+D24+D27</f>
        <v/>
      </c>
      <c r="E28" s="104">
        <f>E21+E24+E27</f>
        <v/>
      </c>
      <c r="F28" s="104">
        <f>F21+F24+F27</f>
        <v/>
      </c>
      <c r="G28" s="104">
        <f>G21+G24+G27</f>
        <v/>
      </c>
      <c r="H28" s="104">
        <f>H21+H24+H27</f>
        <v/>
      </c>
      <c r="I28" s="104">
        <f>I21+I24+I27</f>
        <v/>
      </c>
      <c r="J28" s="104">
        <f>J21+J24+J27</f>
        <v/>
      </c>
      <c r="K28" s="104">
        <f>K21+K24+K27</f>
        <v/>
      </c>
      <c r="L28" s="104">
        <f>L21+L24+L27</f>
        <v/>
      </c>
      <c r="M28" s="104">
        <f>M21+M24+M27</f>
        <v/>
      </c>
      <c r="N28" s="104">
        <f>N21+N24+N27</f>
        <v/>
      </c>
      <c r="O28" s="104">
        <f>O21+O24+O27</f>
        <v/>
      </c>
      <c r="P28" s="104">
        <f>P21+P24+P27</f>
        <v/>
      </c>
    </row>
    <row r="29" ht="15" customHeight="1" s="72">
      <c r="A29" s="76" t="inlineStr">
        <is>
          <t>Opening Cash Balance</t>
        </is>
      </c>
      <c r="B29" s="117" t="inlineStr">
        <is>
          <t>n/a</t>
        </is>
      </c>
      <c r="C29" s="96">
        <f>BS!B11</f>
        <v/>
      </c>
      <c r="D29" s="96">
        <f>BS!C11</f>
        <v/>
      </c>
      <c r="E29" s="96">
        <f>BS!D11</f>
        <v/>
      </c>
      <c r="F29" s="96">
        <f>BS!E11</f>
        <v/>
      </c>
      <c r="G29" s="96">
        <f>BS!F11</f>
        <v/>
      </c>
      <c r="H29" s="96">
        <f>BS!G11</f>
        <v/>
      </c>
      <c r="I29" s="96">
        <f>BS!H11</f>
        <v/>
      </c>
      <c r="J29" s="96">
        <f>BS!I11</f>
        <v/>
      </c>
      <c r="K29" s="96">
        <f>BS!J11</f>
        <v/>
      </c>
      <c r="L29" s="96">
        <f>BS!K11</f>
        <v/>
      </c>
      <c r="M29" s="100">
        <f>L30</f>
        <v/>
      </c>
      <c r="N29" s="100">
        <f>M30</f>
        <v/>
      </c>
      <c r="O29" s="100">
        <f>N30</f>
        <v/>
      </c>
      <c r="P29" s="100">
        <f>O30</f>
        <v/>
      </c>
    </row>
    <row r="30" ht="15" customHeight="1" s="72">
      <c r="A30" s="103" t="inlineStr">
        <is>
          <t>Closing Cash Balance (derived)</t>
        </is>
      </c>
      <c r="B30" s="119" t="inlineStr">
        <is>
          <t>n/a</t>
        </is>
      </c>
      <c r="C30" s="110">
        <f>C29+C28</f>
        <v/>
      </c>
      <c r="D30" s="110">
        <f>D29+D28</f>
        <v/>
      </c>
      <c r="E30" s="110">
        <f>E29+E28</f>
        <v/>
      </c>
      <c r="F30" s="110">
        <f>F29+F28</f>
        <v/>
      </c>
      <c r="G30" s="110">
        <f>G29+G28</f>
        <v/>
      </c>
      <c r="H30" s="110">
        <f>H29+H28</f>
        <v/>
      </c>
      <c r="I30" s="110">
        <f>I29+I28</f>
        <v/>
      </c>
      <c r="J30" s="110">
        <f>J29+J28</f>
        <v/>
      </c>
      <c r="K30" s="110">
        <f>K29+K28</f>
        <v/>
      </c>
      <c r="L30" s="110">
        <f>L29+L28</f>
        <v/>
      </c>
      <c r="M30" s="110">
        <f>M29+M28</f>
        <v/>
      </c>
      <c r="N30" s="110">
        <f>N29+N28</f>
        <v/>
      </c>
      <c r="O30" s="110">
        <f>O29+O28</f>
        <v/>
      </c>
      <c r="P30" s="110">
        <f>P29+P28</f>
        <v/>
      </c>
    </row>
    <row r="32" ht="15" customHeight="1" s="72">
      <c r="A32" s="84" t="inlineStr">
        <is>
          <t>Free Cash Flow to Firm (memo) — see DCF sheet for full build</t>
        </is>
      </c>
    </row>
  </sheetData>
  <mergeCells count="2">
    <mergeCell ref="A4:P4"/>
    <mergeCell ref="A13:P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tabColor rgb="FF548235"/>
    <outlinePr summaryBelow="1" summaryRight="1"/>
    <pageSetUpPr fitToPage="0"/>
  </sheetPr>
  <dimension ref="A1:P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Ratio Analysis</t>
        </is>
      </c>
    </row>
    <row r="2" ht="15" customHeight="1" s="72">
      <c r="A2" s="102" t="inlineStr">
        <is>
          <t>SUN PHARMACEUTICAL INDUSTRIES LTD (Consolidated)</t>
        </is>
      </c>
    </row>
    <row r="4" ht="18" customHeight="1" s="72">
      <c r="A4" s="77" t="inlineStr">
        <is>
          <t>GROWTH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8" t="inlineStr">
        <is>
          <t>Revenue Growth % YoY</t>
        </is>
      </c>
      <c r="C6" s="86">
        <f>IS!C7</f>
        <v/>
      </c>
      <c r="D6" s="86">
        <f>IS!D7</f>
        <v/>
      </c>
      <c r="E6" s="86">
        <f>IS!E7</f>
        <v/>
      </c>
      <c r="F6" s="86">
        <f>IS!F7</f>
        <v/>
      </c>
      <c r="G6" s="86">
        <f>IS!G7</f>
        <v/>
      </c>
      <c r="H6" s="86">
        <f>IS!H7</f>
        <v/>
      </c>
      <c r="I6" s="86">
        <f>IS!I7</f>
        <v/>
      </c>
      <c r="J6" s="86">
        <f>IS!J7</f>
        <v/>
      </c>
      <c r="K6" s="86">
        <f>IS!K7</f>
        <v/>
      </c>
      <c r="L6" s="86">
        <f>IS!L7</f>
        <v/>
      </c>
      <c r="M6" s="86">
        <f>IS!M7</f>
        <v/>
      </c>
      <c r="N6" s="86">
        <f>IS!N7</f>
        <v/>
      </c>
      <c r="O6" s="86">
        <f>IS!O7</f>
        <v/>
      </c>
      <c r="P6" s="86">
        <f>IS!P7</f>
        <v/>
      </c>
    </row>
    <row r="7" ht="15" customHeight="1" s="72">
      <c r="A7" s="78" t="inlineStr">
        <is>
          <t>EBITDA Growth % YoY</t>
        </is>
      </c>
      <c r="C7" s="86">
        <f>IFERROR(IS!C15/IS!B15-1,"")</f>
        <v/>
      </c>
      <c r="D7" s="86">
        <f>IFERROR(IS!D15/IS!C15-1,"")</f>
        <v/>
      </c>
      <c r="E7" s="86">
        <f>IFERROR(IS!E15/IS!D15-1,"")</f>
        <v/>
      </c>
      <c r="F7" s="86">
        <f>IFERROR(IS!F15/IS!E15-1,"")</f>
        <v/>
      </c>
      <c r="G7" s="86">
        <f>IFERROR(IS!G15/IS!F15-1,"")</f>
        <v/>
      </c>
      <c r="H7" s="86">
        <f>IFERROR(IS!H15/IS!G15-1,"")</f>
        <v/>
      </c>
      <c r="I7" s="86">
        <f>IFERROR(IS!I15/IS!H15-1,"")</f>
        <v/>
      </c>
      <c r="J7" s="86">
        <f>IFERROR(IS!J15/IS!I15-1,"")</f>
        <v/>
      </c>
      <c r="K7" s="86">
        <f>IFERROR(IS!K15/IS!J15-1,"")</f>
        <v/>
      </c>
      <c r="L7" s="86">
        <f>IFERROR(IS!L15/IS!K15-1,"")</f>
        <v/>
      </c>
      <c r="M7" s="86">
        <f>IFERROR(IS!M15/IS!L15-1,"")</f>
        <v/>
      </c>
      <c r="N7" s="86">
        <f>IFERROR(IS!N15/IS!M15-1,"")</f>
        <v/>
      </c>
      <c r="O7" s="86">
        <f>IFERROR(IS!O15/IS!N15-1,"")</f>
        <v/>
      </c>
      <c r="P7" s="86">
        <f>IFERROR(IS!P15/IS!O15-1,"")</f>
        <v/>
      </c>
    </row>
    <row r="8" ht="15" customHeight="1" s="72">
      <c r="A8" s="78" t="inlineStr">
        <is>
          <t>Net Profit Growth % YoY</t>
        </is>
      </c>
      <c r="C8" s="86">
        <f>IFERROR(IS!C24/IS!B24-1,"")</f>
        <v/>
      </c>
      <c r="D8" s="86">
        <f>IFERROR(IS!D24/IS!C24-1,"")</f>
        <v/>
      </c>
      <c r="E8" s="86">
        <f>IFERROR(IS!E24/IS!D24-1,"")</f>
        <v/>
      </c>
      <c r="F8" s="86">
        <f>IFERROR(IS!F24/IS!E24-1,"")</f>
        <v/>
      </c>
      <c r="G8" s="86">
        <f>IFERROR(IS!G24/IS!F24-1,"")</f>
        <v/>
      </c>
      <c r="H8" s="86">
        <f>IFERROR(IS!H24/IS!G24-1,"")</f>
        <v/>
      </c>
      <c r="I8" s="86">
        <f>IFERROR(IS!I24/IS!H24-1,"")</f>
        <v/>
      </c>
      <c r="J8" s="86">
        <f>IFERROR(IS!J24/IS!I24-1,"")</f>
        <v/>
      </c>
      <c r="K8" s="86">
        <f>IFERROR(IS!K24/IS!J24-1,"")</f>
        <v/>
      </c>
      <c r="L8" s="86">
        <f>IFERROR(IS!L24/IS!K24-1,"")</f>
        <v/>
      </c>
      <c r="M8" s="86">
        <f>IFERROR(IS!M24/IS!L24-1,"")</f>
        <v/>
      </c>
      <c r="N8" s="86">
        <f>IFERROR(IS!N24/IS!M24-1,"")</f>
        <v/>
      </c>
      <c r="O8" s="86">
        <f>IFERROR(IS!O24/IS!N24-1,"")</f>
        <v/>
      </c>
      <c r="P8" s="86">
        <f>IFERROR(IS!P24/IS!O24-1,"")</f>
        <v/>
      </c>
    </row>
    <row r="9" ht="15" customHeight="1" s="72">
      <c r="A9" s="78" t="inlineStr">
        <is>
          <t>EPS Growth % YoY</t>
        </is>
      </c>
      <c r="C9" s="86">
        <f>IFERROR(IS!C31/IS!B31-1,"")</f>
        <v/>
      </c>
      <c r="D9" s="86">
        <f>IFERROR(IS!D31/IS!C31-1,"")</f>
        <v/>
      </c>
      <c r="E9" s="86">
        <f>IFERROR(IS!E31/IS!D31-1,"")</f>
        <v/>
      </c>
      <c r="F9" s="86">
        <f>IFERROR(IS!F31/IS!E31-1,"")</f>
        <v/>
      </c>
      <c r="G9" s="86">
        <f>IFERROR(IS!G31/IS!F31-1,"")</f>
        <v/>
      </c>
      <c r="H9" s="86">
        <f>IFERROR(IS!H31/IS!G31-1,"")</f>
        <v/>
      </c>
      <c r="I9" s="86">
        <f>IFERROR(IS!I31/IS!H31-1,"")</f>
        <v/>
      </c>
      <c r="J9" s="86">
        <f>IFERROR(IS!J31/IS!I31-1,"")</f>
        <v/>
      </c>
      <c r="K9" s="86">
        <f>IFERROR(IS!K31/IS!J31-1,"")</f>
        <v/>
      </c>
      <c r="L9" s="86">
        <f>IFERROR(IS!L31/IS!K31-1,"")</f>
        <v/>
      </c>
      <c r="M9" s="86">
        <f>IFERROR(IS!M31/IS!L31-1,"")</f>
        <v/>
      </c>
      <c r="N9" s="86">
        <f>IFERROR(IS!N31/IS!M31-1,"")</f>
        <v/>
      </c>
      <c r="O9" s="86">
        <f>IFERROR(IS!O31/IS!N31-1,"")</f>
        <v/>
      </c>
      <c r="P9" s="86">
        <f>IFERROR(IS!P31/IS!O31-1,"")</f>
        <v/>
      </c>
    </row>
    <row r="11" ht="18" customHeight="1" s="72">
      <c r="A11" s="77" t="inlineStr">
        <is>
          <t>PROFITABILITY</t>
        </is>
      </c>
    </row>
    <row r="12" ht="15" customHeight="1" s="72">
      <c r="A12" s="78" t="inlineStr">
        <is>
          <t>EBITDA Margin %</t>
        </is>
      </c>
      <c r="B12" s="120">
        <f>IS!B16</f>
        <v/>
      </c>
      <c r="C12" s="120">
        <f>IS!C16</f>
        <v/>
      </c>
      <c r="D12" s="120">
        <f>IS!D16</f>
        <v/>
      </c>
      <c r="E12" s="120">
        <f>IS!E16</f>
        <v/>
      </c>
      <c r="F12" s="120">
        <f>IS!F16</f>
        <v/>
      </c>
      <c r="G12" s="120">
        <f>IS!G16</f>
        <v/>
      </c>
      <c r="H12" s="120">
        <f>IS!H16</f>
        <v/>
      </c>
      <c r="I12" s="120">
        <f>IS!I16</f>
        <v/>
      </c>
      <c r="J12" s="120">
        <f>IS!J16</f>
        <v/>
      </c>
      <c r="K12" s="120">
        <f>IS!K16</f>
        <v/>
      </c>
      <c r="L12" s="120">
        <f>IS!L16</f>
        <v/>
      </c>
      <c r="M12" s="120">
        <f>IS!M16</f>
        <v/>
      </c>
      <c r="N12" s="120">
        <f>IS!N16</f>
        <v/>
      </c>
      <c r="O12" s="120">
        <f>IS!O16</f>
        <v/>
      </c>
      <c r="P12" s="120">
        <f>IS!P16</f>
        <v/>
      </c>
    </row>
    <row r="13" ht="15" customHeight="1" s="72">
      <c r="A13" s="78" t="inlineStr">
        <is>
          <t>EBIT Margin %</t>
        </is>
      </c>
      <c r="B13" s="86">
        <f>IS!B19/IS!B6</f>
        <v/>
      </c>
      <c r="C13" s="86">
        <f>IS!C19/IS!C6</f>
        <v/>
      </c>
      <c r="D13" s="86">
        <f>IS!D19/IS!D6</f>
        <v/>
      </c>
      <c r="E13" s="86">
        <f>IS!E19/IS!E6</f>
        <v/>
      </c>
      <c r="F13" s="86">
        <f>IS!F19/IS!F6</f>
        <v/>
      </c>
      <c r="G13" s="86">
        <f>IS!G19/IS!G6</f>
        <v/>
      </c>
      <c r="H13" s="86">
        <f>IS!H19/IS!H6</f>
        <v/>
      </c>
      <c r="I13" s="86">
        <f>IS!I19/IS!I6</f>
        <v/>
      </c>
      <c r="J13" s="86">
        <f>IS!J19/IS!J6</f>
        <v/>
      </c>
      <c r="K13" s="86">
        <f>IS!K19/IS!K6</f>
        <v/>
      </c>
      <c r="L13" s="86">
        <f>IS!L19/IS!L6</f>
        <v/>
      </c>
      <c r="M13" s="86">
        <f>IS!M19/IS!M6</f>
        <v/>
      </c>
      <c r="N13" s="86">
        <f>IS!N19/IS!N6</f>
        <v/>
      </c>
      <c r="O13" s="86">
        <f>IS!O19/IS!O6</f>
        <v/>
      </c>
      <c r="P13" s="86">
        <f>IS!P19/IS!P6</f>
        <v/>
      </c>
    </row>
    <row r="14" ht="15" customHeight="1" s="72">
      <c r="A14" s="78" t="inlineStr">
        <is>
          <t>Net Profit Margin %</t>
        </is>
      </c>
      <c r="B14" s="86">
        <f>IS!B25</f>
        <v/>
      </c>
      <c r="C14" s="86">
        <f>IS!C25</f>
        <v/>
      </c>
      <c r="D14" s="86">
        <f>IS!D25</f>
        <v/>
      </c>
      <c r="E14" s="86">
        <f>IS!E25</f>
        <v/>
      </c>
      <c r="F14" s="86">
        <f>IS!F25</f>
        <v/>
      </c>
      <c r="G14" s="86">
        <f>IS!G25</f>
        <v/>
      </c>
      <c r="H14" s="86">
        <f>IS!H25</f>
        <v/>
      </c>
      <c r="I14" s="86">
        <f>IS!I25</f>
        <v/>
      </c>
      <c r="J14" s="86">
        <f>IS!J25</f>
        <v/>
      </c>
      <c r="K14" s="86">
        <f>IS!K25</f>
        <v/>
      </c>
      <c r="L14" s="86">
        <f>IS!L25</f>
        <v/>
      </c>
      <c r="M14" s="86">
        <f>IS!M25</f>
        <v/>
      </c>
      <c r="N14" s="86">
        <f>IS!N25</f>
        <v/>
      </c>
      <c r="O14" s="86">
        <f>IS!O25</f>
        <v/>
      </c>
      <c r="P14" s="86">
        <f>IS!P25</f>
        <v/>
      </c>
    </row>
    <row r="15" ht="15" customHeight="1" s="72">
      <c r="A15" s="78" t="inlineStr">
        <is>
          <t>Return on Equity (ROE) %</t>
        </is>
      </c>
      <c r="B15" s="120">
        <f>IS!B24/(BS!B16+BS!B17)</f>
        <v/>
      </c>
      <c r="C15" s="120">
        <f>IFERROR(IS!C24/AVERAGE(BS!B16+BS!B17,BS!C16+BS!C17),"")</f>
        <v/>
      </c>
      <c r="D15" s="120">
        <f>IFERROR(IS!D24/AVERAGE(BS!C16+BS!C17,BS!D16+BS!D17),"")</f>
        <v/>
      </c>
      <c r="E15" s="120">
        <f>IFERROR(IS!E24/AVERAGE(BS!D16+BS!D17,BS!E16+BS!E17),"")</f>
        <v/>
      </c>
      <c r="F15" s="120">
        <f>IFERROR(IS!F24/AVERAGE(BS!E16+BS!E17,BS!F16+BS!F17),"")</f>
        <v/>
      </c>
      <c r="G15" s="120">
        <f>IFERROR(IS!G24/AVERAGE(BS!F16+BS!F17,BS!G16+BS!G17),"")</f>
        <v/>
      </c>
      <c r="H15" s="120">
        <f>IFERROR(IS!H24/AVERAGE(BS!G16+BS!G17,BS!H16+BS!H17),"")</f>
        <v/>
      </c>
      <c r="I15" s="120">
        <f>IFERROR(IS!I24/AVERAGE(BS!H16+BS!H17,BS!I16+BS!I17),"")</f>
        <v/>
      </c>
      <c r="J15" s="120">
        <f>IFERROR(IS!J24/AVERAGE(BS!I16+BS!I17,BS!J16+BS!J17),"")</f>
        <v/>
      </c>
      <c r="K15" s="120">
        <f>IFERROR(IS!K24/AVERAGE(BS!J16+BS!J17,BS!K16+BS!K17),"")</f>
        <v/>
      </c>
      <c r="L15" s="120">
        <f>IFERROR(IS!L24/AVERAGE(BS!K16+BS!K17,BS!L16+BS!L17),"")</f>
        <v/>
      </c>
      <c r="M15" s="120">
        <f>IFERROR(IS!M24/AVERAGE(BS!L16+BS!L17,BS!M16+BS!M17),"")</f>
        <v/>
      </c>
      <c r="N15" s="120">
        <f>IFERROR(IS!N24/AVERAGE(BS!M16+BS!M17,BS!N16+BS!N17),"")</f>
        <v/>
      </c>
      <c r="O15" s="120">
        <f>IFERROR(IS!O24/AVERAGE(BS!N16+BS!N17,BS!O16+BS!O17),"")</f>
        <v/>
      </c>
      <c r="P15" s="120">
        <f>IFERROR(IS!P24/AVERAGE(BS!O16+BS!O17,BS!P16+BS!P17),"")</f>
        <v/>
      </c>
    </row>
    <row r="16" ht="15" customHeight="1" s="72">
      <c r="A16" s="78" t="inlineStr">
        <is>
          <t>Return on Capital Employed (ROCE) %</t>
        </is>
      </c>
      <c r="B16" s="86">
        <f>IS!B19/(BS!B16+BS!B17+BS!B18)</f>
        <v/>
      </c>
      <c r="C16" s="86">
        <f>IFERROR(IS!C19/AVERAGE(BS!B16+BS!B17+BS!B18,BS!C16+BS!C17+BS!C18),"")</f>
        <v/>
      </c>
      <c r="D16" s="86">
        <f>IFERROR(IS!D19/AVERAGE(BS!C16+BS!C17+BS!C18,BS!D16+BS!D17+BS!D18),"")</f>
        <v/>
      </c>
      <c r="E16" s="86">
        <f>IFERROR(IS!E19/AVERAGE(BS!D16+BS!D17+BS!D18,BS!E16+BS!E17+BS!E18),"")</f>
        <v/>
      </c>
      <c r="F16" s="86">
        <f>IFERROR(IS!F19/AVERAGE(BS!E16+BS!E17+BS!E18,BS!F16+BS!F17+BS!F18),"")</f>
        <v/>
      </c>
      <c r="G16" s="86">
        <f>IFERROR(IS!G19/AVERAGE(BS!F16+BS!F17+BS!F18,BS!G16+BS!G17+BS!G18),"")</f>
        <v/>
      </c>
      <c r="H16" s="86">
        <f>IFERROR(IS!H19/AVERAGE(BS!G16+BS!G17+BS!G18,BS!H16+BS!H17+BS!H18),"")</f>
        <v/>
      </c>
      <c r="I16" s="86">
        <f>IFERROR(IS!I19/AVERAGE(BS!H16+BS!H17+BS!H18,BS!I16+BS!I17+BS!I18),"")</f>
        <v/>
      </c>
      <c r="J16" s="86">
        <f>IFERROR(IS!J19/AVERAGE(BS!I16+BS!I17+BS!I18,BS!J16+BS!J17+BS!J18),"")</f>
        <v/>
      </c>
      <c r="K16" s="86">
        <f>IFERROR(IS!K19/AVERAGE(BS!J16+BS!J17+BS!J18,BS!K16+BS!K17+BS!K18),"")</f>
        <v/>
      </c>
      <c r="L16" s="86">
        <f>IFERROR(IS!L19/AVERAGE(BS!K16+BS!K17+BS!K18,BS!L16+BS!L17+BS!L18),"")</f>
        <v/>
      </c>
      <c r="M16" s="86">
        <f>IFERROR(IS!M19/AVERAGE(BS!L16+BS!L17+BS!L18,BS!M16+BS!M17+BS!M18),"")</f>
        <v/>
      </c>
      <c r="N16" s="86">
        <f>IFERROR(IS!N19/AVERAGE(BS!M16+BS!M17+BS!M18,BS!N16+BS!N17+BS!N18),"")</f>
        <v/>
      </c>
      <c r="O16" s="86">
        <f>IFERROR(IS!O19/AVERAGE(BS!N16+BS!N17+BS!N18,BS!O16+BS!O17+BS!O18),"")</f>
        <v/>
      </c>
      <c r="P16" s="86">
        <f>IFERROR(IS!P19/AVERAGE(BS!O16+BS!O17+BS!O18,BS!P16+BS!P17+BS!P18),"")</f>
        <v/>
      </c>
    </row>
    <row r="17" ht="15" customHeight="1" s="72">
      <c r="A17" s="78" t="inlineStr">
        <is>
          <t>Return on Assets (ROA) %</t>
        </is>
      </c>
      <c r="B17" s="86">
        <f>IS!B24/BS!B13</f>
        <v/>
      </c>
      <c r="C17" s="86">
        <f>IFERROR(IS!C24/AVERAGE(BS!B13,BS!C13),"")</f>
        <v/>
      </c>
      <c r="D17" s="86">
        <f>IFERROR(IS!D24/AVERAGE(BS!C13,BS!D13),"")</f>
        <v/>
      </c>
      <c r="E17" s="86">
        <f>IFERROR(IS!E24/AVERAGE(BS!D13,BS!E13),"")</f>
        <v/>
      </c>
      <c r="F17" s="86">
        <f>IFERROR(IS!F24/AVERAGE(BS!E13,BS!F13),"")</f>
        <v/>
      </c>
      <c r="G17" s="86">
        <f>IFERROR(IS!G24/AVERAGE(BS!F13,BS!G13),"")</f>
        <v/>
      </c>
      <c r="H17" s="86">
        <f>IFERROR(IS!H24/AVERAGE(BS!G13,BS!H13),"")</f>
        <v/>
      </c>
      <c r="I17" s="86">
        <f>IFERROR(IS!I24/AVERAGE(BS!H13,BS!I13),"")</f>
        <v/>
      </c>
      <c r="J17" s="86">
        <f>IFERROR(IS!J24/AVERAGE(BS!I13,BS!J13),"")</f>
        <v/>
      </c>
      <c r="K17" s="86">
        <f>IFERROR(IS!K24/AVERAGE(BS!J13,BS!K13),"")</f>
        <v/>
      </c>
      <c r="L17" s="86">
        <f>IFERROR(IS!L24/AVERAGE(BS!K13,BS!L13),"")</f>
        <v/>
      </c>
      <c r="M17" s="86">
        <f>IFERROR(IS!M24/AVERAGE(BS!L13,BS!M13),"")</f>
        <v/>
      </c>
      <c r="N17" s="86">
        <f>IFERROR(IS!N24/AVERAGE(BS!M13,BS!N13),"")</f>
        <v/>
      </c>
      <c r="O17" s="86">
        <f>IFERROR(IS!O24/AVERAGE(BS!N13,BS!O13),"")</f>
        <v/>
      </c>
      <c r="P17" s="86">
        <f>IFERROR(IS!P24/AVERAGE(BS!O13,BS!P13),"")</f>
        <v/>
      </c>
    </row>
    <row r="19" ht="18" customHeight="1" s="72">
      <c r="A19" s="77" t="inlineStr">
        <is>
          <t>EFFICIENCY</t>
        </is>
      </c>
    </row>
    <row r="20" ht="15" customHeight="1" s="72">
      <c r="A20" s="78" t="inlineStr">
        <is>
          <t>Receivable Days (DSO)</t>
        </is>
      </c>
      <c r="B20" s="88">
        <f>BS!B9/IS!B6*365</f>
        <v/>
      </c>
      <c r="C20" s="88">
        <f>BS!C9/IS!C6*365</f>
        <v/>
      </c>
      <c r="D20" s="88">
        <f>BS!D9/IS!D6*365</f>
        <v/>
      </c>
      <c r="E20" s="88">
        <f>BS!E9/IS!E6*365</f>
        <v/>
      </c>
      <c r="F20" s="88">
        <f>BS!F9/IS!F6*365</f>
        <v/>
      </c>
      <c r="G20" s="88">
        <f>BS!G9/IS!G6*365</f>
        <v/>
      </c>
      <c r="H20" s="88">
        <f>BS!H9/IS!H6*365</f>
        <v/>
      </c>
      <c r="I20" s="88">
        <f>BS!I9/IS!I6*365</f>
        <v/>
      </c>
      <c r="J20" s="88">
        <f>BS!J9/IS!J6*365</f>
        <v/>
      </c>
      <c r="K20" s="88">
        <f>BS!K9/IS!K6*365</f>
        <v/>
      </c>
      <c r="L20" s="88">
        <f>BS!L9/IS!L6*365</f>
        <v/>
      </c>
      <c r="M20" s="88">
        <f>BS!M9/IS!M6*365</f>
        <v/>
      </c>
      <c r="N20" s="88">
        <f>BS!N9/IS!N6*365</f>
        <v/>
      </c>
      <c r="O20" s="88">
        <f>BS!O9/IS!O6*365</f>
        <v/>
      </c>
      <c r="P20" s="88">
        <f>BS!P9/IS!P6*365</f>
        <v/>
      </c>
    </row>
    <row r="21" ht="15" customHeight="1" s="72">
      <c r="A21" s="78" t="inlineStr">
        <is>
          <t>Asset Turnover (x)</t>
        </is>
      </c>
      <c r="B21" s="121">
        <f>IS!B6/BS!B13</f>
        <v/>
      </c>
      <c r="C21" s="121">
        <f>IS!C6/BS!C13</f>
        <v/>
      </c>
      <c r="D21" s="121">
        <f>IS!D6/BS!D13</f>
        <v/>
      </c>
      <c r="E21" s="121">
        <f>IS!E6/BS!E13</f>
        <v/>
      </c>
      <c r="F21" s="121">
        <f>IS!F6/BS!F13</f>
        <v/>
      </c>
      <c r="G21" s="121">
        <f>IS!G6/BS!G13</f>
        <v/>
      </c>
      <c r="H21" s="121">
        <f>IS!H6/BS!H13</f>
        <v/>
      </c>
      <c r="I21" s="121">
        <f>IS!I6/BS!I13</f>
        <v/>
      </c>
      <c r="J21" s="121">
        <f>IS!J6/BS!J13</f>
        <v/>
      </c>
      <c r="K21" s="121">
        <f>IS!K6/BS!K13</f>
        <v/>
      </c>
      <c r="L21" s="121">
        <f>IS!L6/BS!L13</f>
        <v/>
      </c>
      <c r="M21" s="121">
        <f>IS!M6/BS!M13</f>
        <v/>
      </c>
      <c r="N21" s="121">
        <f>IS!N6/BS!N13</f>
        <v/>
      </c>
      <c r="O21" s="121">
        <f>IS!O6/BS!O13</f>
        <v/>
      </c>
      <c r="P21" s="121">
        <f>IS!P6/BS!P13</f>
        <v/>
      </c>
    </row>
    <row r="22" ht="15" customHeight="1" s="72">
      <c r="A22" s="78" t="inlineStr">
        <is>
          <t>Fixed Asset Turnover (x)</t>
        </is>
      </c>
      <c r="B22" s="122">
        <f>IS!B6/(BS!B6+BS!B7)</f>
        <v/>
      </c>
      <c r="C22" s="122">
        <f>IS!C6/(BS!C6+BS!C7)</f>
        <v/>
      </c>
      <c r="D22" s="122">
        <f>IS!D6/(BS!D6+BS!D7)</f>
        <v/>
      </c>
      <c r="E22" s="122">
        <f>IS!E6/(BS!E6+BS!E7)</f>
        <v/>
      </c>
      <c r="F22" s="122">
        <f>IS!F6/(BS!F6+BS!F7)</f>
        <v/>
      </c>
      <c r="G22" s="122">
        <f>IS!G6/(BS!G6+BS!G7)</f>
        <v/>
      </c>
      <c r="H22" s="122">
        <f>IS!H6/(BS!H6+BS!H7)</f>
        <v/>
      </c>
      <c r="I22" s="122">
        <f>IS!I6/(BS!I6+BS!I7)</f>
        <v/>
      </c>
      <c r="J22" s="122">
        <f>IS!J6/(BS!J6+BS!J7)</f>
        <v/>
      </c>
      <c r="K22" s="122">
        <f>IS!K6/(BS!K6+BS!K7)</f>
        <v/>
      </c>
      <c r="L22" s="122">
        <f>IS!L6/(BS!L6+BS!L7)</f>
        <v/>
      </c>
      <c r="M22" s="122">
        <f>IS!M6/(BS!M6+BS!M7)</f>
        <v/>
      </c>
      <c r="N22" s="122">
        <f>IS!N6/(BS!N6+BS!N7)</f>
        <v/>
      </c>
      <c r="O22" s="122">
        <f>IS!O6/(BS!O6+BS!O7)</f>
        <v/>
      </c>
      <c r="P22" s="122">
        <f>IS!P6/(BS!P6+BS!P7)</f>
        <v/>
      </c>
    </row>
    <row r="24" ht="18" customHeight="1" s="72">
      <c r="A24" s="77" t="inlineStr">
        <is>
          <t>LEVERAGE &amp; COVERAGE</t>
        </is>
      </c>
    </row>
    <row r="25" ht="15" customHeight="1" s="72">
      <c r="A25" s="78" t="inlineStr">
        <is>
          <t>Debt / Equity (x)</t>
        </is>
      </c>
      <c r="B25" s="121">
        <f>BS!B18/(BS!B16+BS!B17)</f>
        <v/>
      </c>
      <c r="C25" s="121">
        <f>BS!C18/(BS!C16+BS!C17)</f>
        <v/>
      </c>
      <c r="D25" s="121">
        <f>BS!D18/(BS!D16+BS!D17)</f>
        <v/>
      </c>
      <c r="E25" s="121">
        <f>BS!E18/(BS!E16+BS!E17)</f>
        <v/>
      </c>
      <c r="F25" s="121">
        <f>BS!F18/(BS!F16+BS!F17)</f>
        <v/>
      </c>
      <c r="G25" s="121">
        <f>BS!G18/(BS!G16+BS!G17)</f>
        <v/>
      </c>
      <c r="H25" s="121">
        <f>BS!H18/(BS!H16+BS!H17)</f>
        <v/>
      </c>
      <c r="I25" s="121">
        <f>BS!I18/(BS!I16+BS!I17)</f>
        <v/>
      </c>
      <c r="J25" s="121">
        <f>BS!J18/(BS!J16+BS!J17)</f>
        <v/>
      </c>
      <c r="K25" s="121">
        <f>BS!K18/(BS!K16+BS!K17)</f>
        <v/>
      </c>
      <c r="L25" s="121">
        <f>BS!L18/(BS!L16+BS!L17)</f>
        <v/>
      </c>
      <c r="M25" s="121">
        <f>BS!M18/(BS!M16+BS!M17)</f>
        <v/>
      </c>
      <c r="N25" s="121">
        <f>BS!N18/(BS!N16+BS!N17)</f>
        <v/>
      </c>
      <c r="O25" s="121">
        <f>BS!O18/(BS!O16+BS!O17)</f>
        <v/>
      </c>
      <c r="P25" s="121">
        <f>BS!P18/(BS!P16+BS!P17)</f>
        <v/>
      </c>
    </row>
    <row r="26" ht="15" customHeight="1" s="72">
      <c r="A26" s="78" t="inlineStr">
        <is>
          <t>Debt / EBITDA (x)</t>
        </is>
      </c>
      <c r="B26" s="122">
        <f>BS!B18/IS!B15</f>
        <v/>
      </c>
      <c r="C26" s="122">
        <f>BS!C18/IS!C15</f>
        <v/>
      </c>
      <c r="D26" s="122">
        <f>BS!D18/IS!D15</f>
        <v/>
      </c>
      <c r="E26" s="122">
        <f>BS!E18/IS!E15</f>
        <v/>
      </c>
      <c r="F26" s="122">
        <f>BS!F18/IS!F15</f>
        <v/>
      </c>
      <c r="G26" s="122">
        <f>BS!G18/IS!G15</f>
        <v/>
      </c>
      <c r="H26" s="122">
        <f>BS!H18/IS!H15</f>
        <v/>
      </c>
      <c r="I26" s="122">
        <f>BS!I18/IS!I15</f>
        <v/>
      </c>
      <c r="J26" s="122">
        <f>BS!J18/IS!J15</f>
        <v/>
      </c>
      <c r="K26" s="122">
        <f>BS!K18/IS!K15</f>
        <v/>
      </c>
      <c r="L26" s="122">
        <f>BS!L18/IS!L15</f>
        <v/>
      </c>
      <c r="M26" s="122">
        <f>BS!M18/IS!M15</f>
        <v/>
      </c>
      <c r="N26" s="122">
        <f>BS!N18/IS!N15</f>
        <v/>
      </c>
      <c r="O26" s="122">
        <f>BS!O18/IS!O15</f>
        <v/>
      </c>
      <c r="P26" s="122">
        <f>BS!P18/IS!P15</f>
        <v/>
      </c>
    </row>
    <row r="27" ht="15" customHeight="1" s="72">
      <c r="A27" s="78" t="inlineStr">
        <is>
          <t>Interest Coverage Ratio (x)</t>
        </is>
      </c>
      <c r="B27" s="122">
        <f>IFERROR(IS!B19/IS!B20,"")</f>
        <v/>
      </c>
      <c r="C27" s="122">
        <f>IFERROR(IS!C19/IS!C20,"")</f>
        <v/>
      </c>
      <c r="D27" s="122">
        <f>IFERROR(IS!D19/IS!D20,"")</f>
        <v/>
      </c>
      <c r="E27" s="122">
        <f>IFERROR(IS!E19/IS!E20,"")</f>
        <v/>
      </c>
      <c r="F27" s="122">
        <f>IFERROR(IS!F19/IS!F20,"")</f>
        <v/>
      </c>
      <c r="G27" s="122">
        <f>IFERROR(IS!G19/IS!G20,"")</f>
        <v/>
      </c>
      <c r="H27" s="122">
        <f>IFERROR(IS!H19/IS!H20,"")</f>
        <v/>
      </c>
      <c r="I27" s="122">
        <f>IFERROR(IS!I19/IS!I20,"")</f>
        <v/>
      </c>
      <c r="J27" s="122">
        <f>IFERROR(IS!J19/IS!J20,"")</f>
        <v/>
      </c>
      <c r="K27" s="122">
        <f>IFERROR(IS!K19/IS!K20,"")</f>
        <v/>
      </c>
      <c r="L27" s="122">
        <f>IFERROR(IS!L19/IS!L20,"")</f>
        <v/>
      </c>
      <c r="M27" s="122">
        <f>IFERROR(IS!M19/IS!M20,"")</f>
        <v/>
      </c>
      <c r="N27" s="122">
        <f>IFERROR(IS!N19/IS!N20,"")</f>
        <v/>
      </c>
      <c r="O27" s="122">
        <f>IFERROR(IS!O19/IS!O20,"")</f>
        <v/>
      </c>
      <c r="P27" s="122">
        <f>IFERROR(IS!P19/IS!P20,"")</f>
        <v/>
      </c>
    </row>
    <row r="28" ht="15" customHeight="1" s="72">
      <c r="A28" s="78" t="inlineStr">
        <is>
          <t>Net Debt / EBITDA (x)</t>
        </is>
      </c>
      <c r="B28" s="122">
        <f>BS!B26/IS!B15</f>
        <v/>
      </c>
      <c r="C28" s="122">
        <f>BS!C26/IS!C15</f>
        <v/>
      </c>
      <c r="D28" s="122">
        <f>BS!D26/IS!D15</f>
        <v/>
      </c>
      <c r="E28" s="122">
        <f>BS!E26/IS!E15</f>
        <v/>
      </c>
      <c r="F28" s="122">
        <f>BS!F26/IS!F15</f>
        <v/>
      </c>
      <c r="G28" s="122">
        <f>BS!G26/IS!G15</f>
        <v/>
      </c>
      <c r="H28" s="122">
        <f>BS!H26/IS!H15</f>
        <v/>
      </c>
      <c r="I28" s="122">
        <f>BS!I26/IS!I15</f>
        <v/>
      </c>
      <c r="J28" s="122">
        <f>BS!J26/IS!J15</f>
        <v/>
      </c>
      <c r="K28" s="122">
        <f>BS!K26/IS!K15</f>
        <v/>
      </c>
      <c r="L28" s="122">
        <f>BS!L26/IS!L15</f>
        <v/>
      </c>
      <c r="M28" s="122">
        <f>BS!M26/IS!M15</f>
        <v/>
      </c>
      <c r="N28" s="122">
        <f>BS!N26/IS!N15</f>
        <v/>
      </c>
      <c r="O28" s="122">
        <f>BS!O26/IS!O15</f>
        <v/>
      </c>
      <c r="P28" s="122">
        <f>BS!P26/IS!P15</f>
        <v/>
      </c>
    </row>
    <row r="30" ht="18" customHeight="1" s="72">
      <c r="A30" s="77" t="inlineStr">
        <is>
          <t>PER SHARE &amp; VALUATION</t>
        </is>
      </c>
    </row>
    <row r="31" ht="15" customHeight="1" s="72">
      <c r="A31" s="78" t="inlineStr">
        <is>
          <t>Market Price per Share (₹)</t>
        </is>
      </c>
      <c r="B31" s="144" t="n">
        <v>688.15</v>
      </c>
      <c r="C31" s="144" t="n">
        <v>495.1</v>
      </c>
      <c r="D31" s="144" t="n">
        <v>478.85</v>
      </c>
      <c r="E31" s="144" t="n">
        <v>352.3</v>
      </c>
      <c r="F31" s="144" t="n">
        <v>597.8</v>
      </c>
      <c r="G31" s="144" t="n">
        <v>914.75</v>
      </c>
      <c r="H31" s="144" t="n">
        <v>983.1</v>
      </c>
      <c r="I31" s="144" t="n">
        <v>1620.55</v>
      </c>
      <c r="J31" s="144" t="n">
        <v>1734.7</v>
      </c>
      <c r="K31" s="144" t="n">
        <v>1757.2</v>
      </c>
      <c r="L31" s="116">
        <f>Assumptions!$C$35</f>
        <v/>
      </c>
      <c r="M31" s="116">
        <f>Assumptions!$C$35</f>
        <v/>
      </c>
      <c r="N31" s="116">
        <f>Assumptions!$C$35</f>
        <v/>
      </c>
      <c r="O31" s="116">
        <f>Assumptions!$C$35</f>
        <v/>
      </c>
      <c r="P31" s="116">
        <f>Assumptions!$C$35</f>
        <v/>
      </c>
    </row>
    <row r="32" ht="15" customHeight="1" s="72">
      <c r="A32" s="78" t="inlineStr">
        <is>
          <t>Earnings Per Share (₹)</t>
        </is>
      </c>
      <c r="B32" s="116">
        <f>IS!B31</f>
        <v/>
      </c>
      <c r="C32" s="116">
        <f>IS!C31</f>
        <v/>
      </c>
      <c r="D32" s="116">
        <f>IS!D31</f>
        <v/>
      </c>
      <c r="E32" s="116">
        <f>IS!E31</f>
        <v/>
      </c>
      <c r="F32" s="116">
        <f>IS!F31</f>
        <v/>
      </c>
      <c r="G32" s="116">
        <f>IS!G31</f>
        <v/>
      </c>
      <c r="H32" s="116">
        <f>IS!H31</f>
        <v/>
      </c>
      <c r="I32" s="116">
        <f>IS!I31</f>
        <v/>
      </c>
      <c r="J32" s="116">
        <f>IS!J31</f>
        <v/>
      </c>
      <c r="K32" s="116">
        <f>IS!K31</f>
        <v/>
      </c>
      <c r="L32" s="116">
        <f>IS!L31</f>
        <v/>
      </c>
      <c r="M32" s="116">
        <f>IS!M31</f>
        <v/>
      </c>
      <c r="N32" s="116">
        <f>IS!N31</f>
        <v/>
      </c>
      <c r="O32" s="116">
        <f>IS!O31</f>
        <v/>
      </c>
      <c r="P32" s="116">
        <f>IS!P31</f>
        <v/>
      </c>
    </row>
    <row r="33" ht="15" customHeight="1" s="72">
      <c r="A33" s="93" t="inlineStr">
        <is>
          <t>P/E Ratio (x)</t>
        </is>
      </c>
      <c r="B33" s="123">
        <f>B31/B32</f>
        <v/>
      </c>
      <c r="C33" s="123">
        <f>C31/C32</f>
        <v/>
      </c>
      <c r="D33" s="123">
        <f>D31/D32</f>
        <v/>
      </c>
      <c r="E33" s="123">
        <f>E31/E32</f>
        <v/>
      </c>
      <c r="F33" s="123">
        <f>F31/F32</f>
        <v/>
      </c>
      <c r="G33" s="123">
        <f>G31/G32</f>
        <v/>
      </c>
      <c r="H33" s="123">
        <f>H31/H32</f>
        <v/>
      </c>
      <c r="I33" s="123">
        <f>I31/I32</f>
        <v/>
      </c>
      <c r="J33" s="123">
        <f>J31/J32</f>
        <v/>
      </c>
      <c r="K33" s="123">
        <f>K31/K32</f>
        <v/>
      </c>
      <c r="L33" s="123">
        <f>L31/L32</f>
        <v/>
      </c>
      <c r="M33" s="123">
        <f>M31/M32</f>
        <v/>
      </c>
      <c r="N33" s="123">
        <f>N31/N32</f>
        <v/>
      </c>
      <c r="O33" s="123">
        <f>O31/O32</f>
        <v/>
      </c>
      <c r="P33" s="123">
        <f>P31/P32</f>
        <v/>
      </c>
    </row>
    <row r="34" ht="15" customHeight="1" s="72">
      <c r="A34" s="78" t="inlineStr">
        <is>
          <t>Book Value per Share (₹)</t>
        </is>
      </c>
      <c r="B34" s="116">
        <f>BS!B27</f>
        <v/>
      </c>
      <c r="C34" s="116">
        <f>BS!C27</f>
        <v/>
      </c>
      <c r="D34" s="116">
        <f>BS!D27</f>
        <v/>
      </c>
      <c r="E34" s="116">
        <f>BS!E27</f>
        <v/>
      </c>
      <c r="F34" s="116">
        <f>BS!F27</f>
        <v/>
      </c>
      <c r="G34" s="116">
        <f>BS!G27</f>
        <v/>
      </c>
      <c r="H34" s="116">
        <f>BS!H27</f>
        <v/>
      </c>
      <c r="I34" s="116">
        <f>BS!I27</f>
        <v/>
      </c>
      <c r="J34" s="116">
        <f>BS!J27</f>
        <v/>
      </c>
      <c r="K34" s="116">
        <f>BS!K27</f>
        <v/>
      </c>
      <c r="L34" s="116">
        <f>BS!L27</f>
        <v/>
      </c>
      <c r="M34" s="116">
        <f>BS!M27</f>
        <v/>
      </c>
      <c r="N34" s="116">
        <f>BS!N27</f>
        <v/>
      </c>
      <c r="O34" s="116">
        <f>BS!O27</f>
        <v/>
      </c>
      <c r="P34" s="116">
        <f>BS!P27</f>
        <v/>
      </c>
    </row>
    <row r="35" ht="15" customHeight="1" s="72">
      <c r="A35" s="93" t="inlineStr">
        <is>
          <t>P/B Ratio (x)</t>
        </is>
      </c>
      <c r="B35" s="124">
        <f>B31/B34</f>
        <v/>
      </c>
      <c r="C35" s="124">
        <f>C31/C34</f>
        <v/>
      </c>
      <c r="D35" s="124">
        <f>D31/D34</f>
        <v/>
      </c>
      <c r="E35" s="124">
        <f>E31/E34</f>
        <v/>
      </c>
      <c r="F35" s="124">
        <f>F31/F34</f>
        <v/>
      </c>
      <c r="G35" s="124">
        <f>G31/G34</f>
        <v/>
      </c>
      <c r="H35" s="124">
        <f>H31/H34</f>
        <v/>
      </c>
      <c r="I35" s="124">
        <f>I31/I34</f>
        <v/>
      </c>
      <c r="J35" s="124">
        <f>J31/J34</f>
        <v/>
      </c>
      <c r="K35" s="124">
        <f>K31/K34</f>
        <v/>
      </c>
      <c r="L35" s="124">
        <f>L31/L34</f>
        <v/>
      </c>
      <c r="M35" s="124">
        <f>M31/M34</f>
        <v/>
      </c>
      <c r="N35" s="124">
        <f>N31/N34</f>
        <v/>
      </c>
      <c r="O35" s="124">
        <f>O31/O34</f>
        <v/>
      </c>
      <c r="P35" s="124">
        <f>P31/P34</f>
        <v/>
      </c>
    </row>
    <row r="36" ht="15" customHeight="1" s="72">
      <c r="A36" s="78" t="inlineStr">
        <is>
          <t>Dividend per Share (₹)</t>
        </is>
      </c>
      <c r="B36" s="116">
        <f>IS!B32</f>
        <v/>
      </c>
      <c r="C36" s="116">
        <f>IS!C32</f>
        <v/>
      </c>
      <c r="D36" s="116">
        <f>IS!D32</f>
        <v/>
      </c>
      <c r="E36" s="116">
        <f>IS!E32</f>
        <v/>
      </c>
      <c r="F36" s="116">
        <f>IS!F32</f>
        <v/>
      </c>
      <c r="G36" s="116">
        <f>IS!G32</f>
        <v/>
      </c>
      <c r="H36" s="116">
        <f>IS!H32</f>
        <v/>
      </c>
      <c r="I36" s="116">
        <f>IS!I32</f>
        <v/>
      </c>
      <c r="J36" s="116">
        <f>IS!J32</f>
        <v/>
      </c>
      <c r="K36" s="116">
        <f>IS!K32</f>
        <v/>
      </c>
      <c r="L36" s="116">
        <f>IS!L32</f>
        <v/>
      </c>
      <c r="M36" s="116">
        <f>IS!M32</f>
        <v/>
      </c>
      <c r="N36" s="116">
        <f>IS!N32</f>
        <v/>
      </c>
      <c r="O36" s="116">
        <f>IS!O32</f>
        <v/>
      </c>
      <c r="P36" s="116">
        <f>IS!P32</f>
        <v/>
      </c>
    </row>
    <row r="37" ht="15" customHeight="1" s="72">
      <c r="A37" s="78" t="inlineStr">
        <is>
          <t>Dividend Yield %</t>
        </is>
      </c>
      <c r="B37" s="125">
        <f>B36/B31</f>
        <v/>
      </c>
      <c r="C37" s="125">
        <f>C36/C31</f>
        <v/>
      </c>
      <c r="D37" s="125">
        <f>D36/D31</f>
        <v/>
      </c>
      <c r="E37" s="125">
        <f>E36/E31</f>
        <v/>
      </c>
      <c r="F37" s="125">
        <f>F36/F31</f>
        <v/>
      </c>
      <c r="G37" s="125">
        <f>G36/G31</f>
        <v/>
      </c>
      <c r="H37" s="125">
        <f>H36/H31</f>
        <v/>
      </c>
      <c r="I37" s="125">
        <f>I36/I31</f>
        <v/>
      </c>
      <c r="J37" s="125">
        <f>J36/J31</f>
        <v/>
      </c>
      <c r="K37" s="125">
        <f>K36/K31</f>
        <v/>
      </c>
      <c r="L37" s="125">
        <f>L36/L31</f>
        <v/>
      </c>
      <c r="M37" s="125">
        <f>M36/M31</f>
        <v/>
      </c>
      <c r="N37" s="125">
        <f>N36/N31</f>
        <v/>
      </c>
      <c r="O37" s="125">
        <f>O36/O31</f>
        <v/>
      </c>
      <c r="P37" s="125">
        <f>P36/P31</f>
        <v/>
      </c>
    </row>
    <row r="38" ht="15" customHeight="1" s="72">
      <c r="A38" s="93" t="inlineStr">
        <is>
          <t>EV / EBITDA (x)</t>
        </is>
      </c>
      <c r="B38" s="124">
        <f>(B31*IS!B30+BS!B18-BS!B11-BS!B8)/IS!B15</f>
        <v/>
      </c>
      <c r="C38" s="124">
        <f>(C31*IS!C30+BS!C18-BS!C11-BS!C8)/IS!C15</f>
        <v/>
      </c>
      <c r="D38" s="124">
        <f>(D31*IS!D30+BS!D18-BS!D11-BS!D8)/IS!D15</f>
        <v/>
      </c>
      <c r="E38" s="124">
        <f>(E31*IS!E30+BS!E18-BS!E11-BS!E8)/IS!E15</f>
        <v/>
      </c>
      <c r="F38" s="124">
        <f>(F31*IS!F30+BS!F18-BS!F11-BS!F8)/IS!F15</f>
        <v/>
      </c>
      <c r="G38" s="124">
        <f>(G31*IS!G30+BS!G18-BS!G11-BS!G8)/IS!G15</f>
        <v/>
      </c>
      <c r="H38" s="124">
        <f>(H31*IS!H30+BS!H18-BS!H11-BS!H8)/IS!H15</f>
        <v/>
      </c>
      <c r="I38" s="124">
        <f>(I31*IS!I30+BS!I18-BS!I11-BS!I8)/IS!I15</f>
        <v/>
      </c>
      <c r="J38" s="124">
        <f>(J31*IS!J30+BS!J18-BS!J11-BS!J8)/IS!J15</f>
        <v/>
      </c>
      <c r="K38" s="124">
        <f>(K31*IS!K30+BS!K18-BS!K11-BS!K8)/IS!K15</f>
        <v/>
      </c>
      <c r="L38" s="124">
        <f>(L31*IS!L30+BS!L18-BS!L11-BS!L8)/IS!L15</f>
        <v/>
      </c>
      <c r="M38" s="124">
        <f>(M31*IS!M30+BS!M18-BS!M11-BS!M8)/IS!M15</f>
        <v/>
      </c>
      <c r="N38" s="124">
        <f>(N31*IS!N30+BS!N18-BS!N11-BS!N8)/IS!N15</f>
        <v/>
      </c>
      <c r="O38" s="124">
        <f>(O31*IS!O30+BS!O18-BS!O11-BS!O8)/IS!O15</f>
        <v/>
      </c>
      <c r="P38" s="124">
        <f>(P31*IS!P30+BS!P18-BS!P11-BS!P8)/IS!P15</f>
        <v/>
      </c>
    </row>
  </sheetData>
  <mergeCells count="5">
    <mergeCell ref="A11:P11"/>
    <mergeCell ref="A4:P4"/>
    <mergeCell ref="A30:P30"/>
    <mergeCell ref="A24:P24"/>
    <mergeCell ref="A19:P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P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71" min="1" max="1"/>
    <col width="11" customWidth="1" style="71" min="2" max="16"/>
  </cols>
  <sheetData>
    <row r="1" ht="17.35" customHeight="1" s="72">
      <c r="A1" s="82" t="inlineStr">
        <is>
          <t>DCF Valuation — Free Cash Flow to Firm (FCFF)</t>
        </is>
      </c>
    </row>
    <row r="2" ht="15" customHeight="1" s="72">
      <c r="A2" s="102" t="inlineStr">
        <is>
          <t>SUN PHARMACEUTICAL INDUSTRIES LTD (Consolidated)</t>
        </is>
      </c>
    </row>
    <row r="4" ht="18" customHeight="1" s="72">
      <c r="A4" s="77" t="inlineStr">
        <is>
          <t>FREE CASH FLOW TO FIRM PROJECTION</t>
        </is>
      </c>
    </row>
    <row r="5" ht="15.75" customHeight="1" s="72">
      <c r="A5" s="84" t="inlineStr">
        <is>
          <t>(₹ Crore, unless stated otherwise)</t>
        </is>
      </c>
      <c r="B5" s="85" t="inlineStr">
        <is>
          <t>FY2017</t>
        </is>
      </c>
      <c r="C5" s="85" t="inlineStr">
        <is>
          <t>FY2018</t>
        </is>
      </c>
      <c r="D5" s="85" t="inlineStr">
        <is>
          <t>FY2019</t>
        </is>
      </c>
      <c r="E5" s="85" t="inlineStr">
        <is>
          <t>FY2020</t>
        </is>
      </c>
      <c r="F5" s="85" t="inlineStr">
        <is>
          <t>FY2021</t>
        </is>
      </c>
      <c r="G5" s="85" t="inlineStr">
        <is>
          <t>FY2022</t>
        </is>
      </c>
      <c r="H5" s="85" t="inlineStr">
        <is>
          <t>FY2023</t>
        </is>
      </c>
      <c r="I5" s="85" t="inlineStr">
        <is>
          <t>FY2024</t>
        </is>
      </c>
      <c r="J5" s="85" t="inlineStr">
        <is>
          <t>FY2025</t>
        </is>
      </c>
      <c r="K5" s="85" t="inlineStr">
        <is>
          <t>FY2026</t>
        </is>
      </c>
      <c r="L5" s="85" t="inlineStr">
        <is>
          <t>FY2027E</t>
        </is>
      </c>
      <c r="M5" s="85" t="inlineStr">
        <is>
          <t>FY2028E</t>
        </is>
      </c>
      <c r="N5" s="85" t="inlineStr">
        <is>
          <t>FY2029E</t>
        </is>
      </c>
      <c r="O5" s="85" t="inlineStr">
        <is>
          <t>FY2030E</t>
        </is>
      </c>
      <c r="P5" s="85" t="inlineStr">
        <is>
          <t>FY2031E</t>
        </is>
      </c>
    </row>
    <row r="6" ht="15" customHeight="1" s="72">
      <c r="A6" s="76" t="inlineStr">
        <is>
          <t>EBIT</t>
        </is>
      </c>
      <c r="B6" s="96">
        <f>IS!B19</f>
        <v/>
      </c>
      <c r="C6" s="96">
        <f>IS!C19</f>
        <v/>
      </c>
      <c r="D6" s="96">
        <f>IS!D19</f>
        <v/>
      </c>
      <c r="E6" s="96">
        <f>IS!E19</f>
        <v/>
      </c>
      <c r="F6" s="96">
        <f>IS!F19</f>
        <v/>
      </c>
      <c r="G6" s="96">
        <f>IS!G19</f>
        <v/>
      </c>
      <c r="H6" s="96">
        <f>IS!H19</f>
        <v/>
      </c>
      <c r="I6" s="96">
        <f>IS!I19</f>
        <v/>
      </c>
      <c r="J6" s="96">
        <f>IS!J19</f>
        <v/>
      </c>
      <c r="K6" s="96">
        <f>IS!K19</f>
        <v/>
      </c>
      <c r="L6" s="96">
        <f>IS!L19</f>
        <v/>
      </c>
      <c r="M6" s="96">
        <f>IS!M19</f>
        <v/>
      </c>
      <c r="N6" s="96">
        <f>IS!N19</f>
        <v/>
      </c>
      <c r="O6" s="96">
        <f>IS!O19</f>
        <v/>
      </c>
      <c r="P6" s="96">
        <f>IS!P19</f>
        <v/>
      </c>
    </row>
    <row r="7" ht="15" customHeight="1" s="72">
      <c r="A7" s="76" t="inlineStr">
        <is>
          <t>Less: Taxes on EBIT (at effective tax rate)</t>
        </is>
      </c>
      <c r="B7" s="96">
        <f>-B6*IS!B23</f>
        <v/>
      </c>
      <c r="C7" s="96">
        <f>-C6*IS!C23</f>
        <v/>
      </c>
      <c r="D7" s="96">
        <f>-D6*IS!D23</f>
        <v/>
      </c>
      <c r="E7" s="96">
        <f>-E6*IS!E23</f>
        <v/>
      </c>
      <c r="F7" s="96">
        <f>-F6*IS!F23</f>
        <v/>
      </c>
      <c r="G7" s="96">
        <f>-G6*IS!G23</f>
        <v/>
      </c>
      <c r="H7" s="96">
        <f>-H6*IS!H23</f>
        <v/>
      </c>
      <c r="I7" s="96">
        <f>-I6*IS!I23</f>
        <v/>
      </c>
      <c r="J7" s="96">
        <f>-J6*IS!J23</f>
        <v/>
      </c>
      <c r="K7" s="96">
        <f>-K6*IS!K23</f>
        <v/>
      </c>
      <c r="L7" s="96">
        <f>-L6*IS!L23</f>
        <v/>
      </c>
      <c r="M7" s="96">
        <f>-M6*IS!M23</f>
        <v/>
      </c>
      <c r="N7" s="96">
        <f>-N6*IS!N23</f>
        <v/>
      </c>
      <c r="O7" s="96">
        <f>-O6*IS!O23</f>
        <v/>
      </c>
      <c r="P7" s="96">
        <f>-P6*IS!P23</f>
        <v/>
      </c>
    </row>
    <row r="8" ht="15" customHeight="1" s="72">
      <c r="A8" s="103" t="inlineStr">
        <is>
          <t>NOPAT (Tax-Effected EBIT)</t>
        </is>
      </c>
      <c r="B8" s="104">
        <f>B6+B7</f>
        <v/>
      </c>
      <c r="C8" s="104">
        <f>C6+C7</f>
        <v/>
      </c>
      <c r="D8" s="104">
        <f>D6+D7</f>
        <v/>
      </c>
      <c r="E8" s="104">
        <f>E6+E7</f>
        <v/>
      </c>
      <c r="F8" s="104">
        <f>F6+F7</f>
        <v/>
      </c>
      <c r="G8" s="104">
        <f>G6+G7</f>
        <v/>
      </c>
      <c r="H8" s="104">
        <f>H6+H7</f>
        <v/>
      </c>
      <c r="I8" s="104">
        <f>I6+I7</f>
        <v/>
      </c>
      <c r="J8" s="104">
        <f>J6+J7</f>
        <v/>
      </c>
      <c r="K8" s="104">
        <f>K6+K7</f>
        <v/>
      </c>
      <c r="L8" s="104">
        <f>L6+L7</f>
        <v/>
      </c>
      <c r="M8" s="104">
        <f>M6+M7</f>
        <v/>
      </c>
      <c r="N8" s="104">
        <f>N6+N7</f>
        <v/>
      </c>
      <c r="O8" s="104">
        <f>O6+O7</f>
        <v/>
      </c>
      <c r="P8" s="104">
        <f>P6+P7</f>
        <v/>
      </c>
    </row>
    <row r="9" ht="15" customHeight="1" s="72">
      <c r="A9" s="76" t="inlineStr">
        <is>
          <t>Add: Depreciation &amp; Amortization</t>
        </is>
      </c>
      <c r="B9" s="96">
        <f>IS!B18</f>
        <v/>
      </c>
      <c r="C9" s="96">
        <f>IS!C18</f>
        <v/>
      </c>
      <c r="D9" s="96">
        <f>IS!D18</f>
        <v/>
      </c>
      <c r="E9" s="96">
        <f>IS!E18</f>
        <v/>
      </c>
      <c r="F9" s="96">
        <f>IS!F18</f>
        <v/>
      </c>
      <c r="G9" s="96">
        <f>IS!G18</f>
        <v/>
      </c>
      <c r="H9" s="96">
        <f>IS!H18</f>
        <v/>
      </c>
      <c r="I9" s="96">
        <f>IS!I18</f>
        <v/>
      </c>
      <c r="J9" s="96">
        <f>IS!J18</f>
        <v/>
      </c>
      <c r="K9" s="96">
        <f>IS!K18</f>
        <v/>
      </c>
      <c r="L9" s="96">
        <f>IS!L18</f>
        <v/>
      </c>
      <c r="M9" s="96">
        <f>IS!M18</f>
        <v/>
      </c>
      <c r="N9" s="96">
        <f>IS!N18</f>
        <v/>
      </c>
      <c r="O9" s="96">
        <f>IS!O18</f>
        <v/>
      </c>
      <c r="P9" s="96">
        <f>IS!P18</f>
        <v/>
      </c>
    </row>
    <row r="10" ht="15" customHeight="1" s="72">
      <c r="A10" s="76" t="inlineStr">
        <is>
          <t>Less: Capital Expenditure</t>
        </is>
      </c>
      <c r="B10" s="117" t="inlineStr">
        <is>
          <t>n/a</t>
        </is>
      </c>
      <c r="C10" s="96">
        <f>CF!C22</f>
        <v/>
      </c>
      <c r="D10" s="96">
        <f>CF!D22</f>
        <v/>
      </c>
      <c r="E10" s="96">
        <f>CF!E22</f>
        <v/>
      </c>
      <c r="F10" s="96">
        <f>CF!F22</f>
        <v/>
      </c>
      <c r="G10" s="96">
        <f>CF!G22</f>
        <v/>
      </c>
      <c r="H10" s="96">
        <f>CF!H22</f>
        <v/>
      </c>
      <c r="I10" s="96">
        <f>CF!I22</f>
        <v/>
      </c>
      <c r="J10" s="96">
        <f>CF!J22</f>
        <v/>
      </c>
      <c r="K10" s="96">
        <f>CF!K22</f>
        <v/>
      </c>
      <c r="L10" s="96">
        <f>CF!L22</f>
        <v/>
      </c>
      <c r="M10" s="96">
        <f>CF!M22</f>
        <v/>
      </c>
      <c r="N10" s="96">
        <f>CF!N22</f>
        <v/>
      </c>
      <c r="O10" s="96">
        <f>CF!O22</f>
        <v/>
      </c>
      <c r="P10" s="96">
        <f>CF!P22</f>
        <v/>
      </c>
    </row>
    <row r="11" ht="15" customHeight="1" s="72">
      <c r="A11" s="76" t="inlineStr">
        <is>
          <t>Less: Increase in Net Working Capital</t>
        </is>
      </c>
      <c r="B11" s="117" t="inlineStr">
        <is>
          <t>n/a</t>
        </is>
      </c>
      <c r="C11" s="96">
        <f>-(BS!C25-BS!B25)</f>
        <v/>
      </c>
      <c r="D11" s="96">
        <f>-(BS!D25-BS!C25)</f>
        <v/>
      </c>
      <c r="E11" s="96">
        <f>-(BS!E25-BS!D25)</f>
        <v/>
      </c>
      <c r="F11" s="96">
        <f>-(BS!F25-BS!E25)</f>
        <v/>
      </c>
      <c r="G11" s="96">
        <f>-(BS!G25-BS!F25)</f>
        <v/>
      </c>
      <c r="H11" s="96">
        <f>-(BS!H25-BS!G25)</f>
        <v/>
      </c>
      <c r="I11" s="96">
        <f>-(BS!I25-BS!H25)</f>
        <v/>
      </c>
      <c r="J11" s="96">
        <f>-(BS!J25-BS!I25)</f>
        <v/>
      </c>
      <c r="K11" s="96">
        <f>-(BS!K25-BS!J25)</f>
        <v/>
      </c>
      <c r="L11" s="96">
        <f>-(BS!L25-BS!K25)</f>
        <v/>
      </c>
      <c r="M11" s="96">
        <f>-(BS!M25-BS!L25)</f>
        <v/>
      </c>
      <c r="N11" s="96">
        <f>-(BS!N25-BS!M25)</f>
        <v/>
      </c>
      <c r="O11" s="96">
        <f>-(BS!O25-BS!N25)</f>
        <v/>
      </c>
      <c r="P11" s="96">
        <f>-(BS!P25-BS!O25)</f>
        <v/>
      </c>
    </row>
    <row r="12" ht="15" customHeight="1" s="72">
      <c r="A12" s="103" t="inlineStr">
        <is>
          <t>Free Cash Flow to Firm (FCFF)</t>
        </is>
      </c>
      <c r="B12" s="119" t="inlineStr">
        <is>
          <t>n/a</t>
        </is>
      </c>
      <c r="C12" s="110">
        <f>C8+C9+C10+C11</f>
        <v/>
      </c>
      <c r="D12" s="110">
        <f>D8+D9+D10+D11</f>
        <v/>
      </c>
      <c r="E12" s="110">
        <f>E8+E9+E10+E11</f>
        <v/>
      </c>
      <c r="F12" s="110">
        <f>F8+F9+F10+F11</f>
        <v/>
      </c>
      <c r="G12" s="110">
        <f>G8+G9+G10+G11</f>
        <v/>
      </c>
      <c r="H12" s="110">
        <f>H8+H9+H10+H11</f>
        <v/>
      </c>
      <c r="I12" s="110">
        <f>I8+I9+I10+I11</f>
        <v/>
      </c>
      <c r="J12" s="110">
        <f>J8+J9+J10+J11</f>
        <v/>
      </c>
      <c r="K12" s="110">
        <f>K8+K9+K10+K11</f>
        <v/>
      </c>
      <c r="L12" s="110">
        <f>L8+L9+L10+L11</f>
        <v/>
      </c>
      <c r="M12" s="110">
        <f>M8+M9+M10+M11</f>
        <v/>
      </c>
      <c r="N12" s="110">
        <f>N8+N9+N10+N11</f>
        <v/>
      </c>
      <c r="O12" s="110">
        <f>O8+O9+O10+O11</f>
        <v/>
      </c>
      <c r="P12" s="110">
        <f>P8+P9+P10+P11</f>
        <v/>
      </c>
    </row>
    <row r="14" ht="18" customHeight="1" s="72">
      <c r="A14" s="77" t="inlineStr">
        <is>
          <t>DISCOUNTING — PROJECTION PERIOD (FY2027E–FY2031E)</t>
        </is>
      </c>
    </row>
    <row r="15" ht="15" customHeight="1" s="72">
      <c r="A15" s="76" t="inlineStr">
        <is>
          <t>Discount period (n, years)</t>
        </is>
      </c>
      <c r="L15" s="100" t="n">
        <v>1</v>
      </c>
      <c r="M15" s="100" t="n">
        <v>2</v>
      </c>
      <c r="N15" s="100" t="n">
        <v>3</v>
      </c>
      <c r="O15" s="100" t="n">
        <v>4</v>
      </c>
      <c r="P15" s="100" t="n">
        <v>5</v>
      </c>
    </row>
    <row r="16" ht="15" customHeight="1" s="72">
      <c r="A16" s="76" t="inlineStr">
        <is>
          <t>FCFF (₹ Cr)</t>
        </is>
      </c>
      <c r="L16" s="100">
        <f>L12</f>
        <v/>
      </c>
      <c r="M16" s="100">
        <f>M12</f>
        <v/>
      </c>
      <c r="N16" s="100">
        <f>N12</f>
        <v/>
      </c>
      <c r="O16" s="100">
        <f>O12</f>
        <v/>
      </c>
      <c r="P16" s="100">
        <f>P12</f>
        <v/>
      </c>
    </row>
    <row r="17" ht="15" customHeight="1" s="72">
      <c r="A17" s="76" t="inlineStr">
        <is>
          <t>Discount Factor @ WACC</t>
        </is>
      </c>
      <c r="L17" s="111">
        <f>1/(1+Assumptions!$C$30)^L15</f>
        <v/>
      </c>
      <c r="M17" s="111">
        <f>1/(1+Assumptions!$C$30)^M15</f>
        <v/>
      </c>
      <c r="N17" s="111">
        <f>1/(1+Assumptions!$C$30)^N15</f>
        <v/>
      </c>
      <c r="O17" s="111">
        <f>1/(1+Assumptions!$C$30)^O15</f>
        <v/>
      </c>
      <c r="P17" s="111">
        <f>1/(1+Assumptions!$C$30)^P15</f>
        <v/>
      </c>
    </row>
    <row r="18" ht="15" customHeight="1" s="72">
      <c r="A18" s="103" t="inlineStr">
        <is>
          <t>Present Value of FCFF</t>
        </is>
      </c>
      <c r="L18" s="104">
        <f>L16*L17</f>
        <v/>
      </c>
      <c r="M18" s="104">
        <f>M16*M17</f>
        <v/>
      </c>
      <c r="N18" s="104">
        <f>N16*N17</f>
        <v/>
      </c>
      <c r="O18" s="104">
        <f>O16*O17</f>
        <v/>
      </c>
      <c r="P18" s="104">
        <f>P16*P17</f>
        <v/>
      </c>
    </row>
    <row r="20" ht="18" customHeight="1" s="72">
      <c r="A20" s="77" t="inlineStr">
        <is>
          <t>TERMINAL VALUE (GORDON GROWTH)</t>
        </is>
      </c>
    </row>
    <row r="21" ht="15" customHeight="1" s="72">
      <c r="A21" s="76" t="inlineStr">
        <is>
          <t>Terminal Year FCFF (FY2031E)</t>
        </is>
      </c>
      <c r="C21" s="100">
        <f>P16</f>
        <v/>
      </c>
    </row>
    <row r="22" ht="15" customHeight="1" s="72">
      <c r="A22" s="76" t="inlineStr">
        <is>
          <t>Terminal Growth Rate (g)</t>
        </is>
      </c>
      <c r="C22" s="95">
        <f>Assumptions!$C$32</f>
        <v/>
      </c>
    </row>
    <row r="23" ht="15" customHeight="1" s="72">
      <c r="A23" s="76" t="inlineStr">
        <is>
          <t>WACC</t>
        </is>
      </c>
      <c r="C23" s="95">
        <f>Assumptions!$C$30</f>
        <v/>
      </c>
    </row>
    <row r="24" ht="15" customHeight="1" s="72">
      <c r="A24" s="103" t="inlineStr">
        <is>
          <t>Terminal Value = FCFF₅×(1+g) / (WACC−g)</t>
        </is>
      </c>
      <c r="C24" s="104">
        <f>C21*(1+C22)/(C23-C22)</f>
        <v/>
      </c>
    </row>
    <row r="25" ht="15" customHeight="1" s="72">
      <c r="A25" s="76" t="inlineStr">
        <is>
          <t>Discount Factor (Year 5)</t>
        </is>
      </c>
      <c r="C25" s="126">
        <f>P17</f>
        <v/>
      </c>
    </row>
    <row r="26" ht="15" customHeight="1" s="72">
      <c r="A26" s="103" t="inlineStr">
        <is>
          <t>Present Value of Terminal Value</t>
        </is>
      </c>
      <c r="C26" s="104">
        <f>C24*C25</f>
        <v/>
      </c>
    </row>
    <row r="28" ht="18" customHeight="1" s="72">
      <c r="A28" s="77" t="inlineStr">
        <is>
          <t>ENTERPRISE VALUE → EQUITY VALUE BRIDGE</t>
        </is>
      </c>
    </row>
    <row r="29" ht="15" customHeight="1" s="72">
      <c r="A29" s="76" t="inlineStr">
        <is>
          <t>Sum of PV of FCFF (FY27E–FY31E)</t>
        </is>
      </c>
      <c r="C29" s="100">
        <f>SUM(L18:P18)</f>
        <v/>
      </c>
    </row>
    <row r="30" ht="15" customHeight="1" s="72">
      <c r="A30" s="76" t="inlineStr">
        <is>
          <t>Add: PV of Terminal Value</t>
        </is>
      </c>
      <c r="C30" s="100">
        <f>C26</f>
        <v/>
      </c>
    </row>
    <row r="31" ht="15" customHeight="1" s="72">
      <c r="A31" s="103" t="inlineStr">
        <is>
          <t>Enterprise Value</t>
        </is>
      </c>
      <c r="C31" s="109">
        <f>C29+C30</f>
        <v/>
      </c>
    </row>
    <row r="32" ht="15" customHeight="1" s="72">
      <c r="A32" s="76" t="inlineStr">
        <is>
          <t>Less: Total Debt (FY2026A)</t>
        </is>
      </c>
      <c r="C32" s="96">
        <f>-BS!K18</f>
        <v/>
      </c>
    </row>
    <row r="33" ht="15" customHeight="1" s="72">
      <c r="A33" s="76" t="inlineStr">
        <is>
          <t>Add: Cash &amp; Bank (FY2026A)</t>
        </is>
      </c>
      <c r="C33" s="96">
        <f>BS!K11</f>
        <v/>
      </c>
    </row>
    <row r="34" ht="15" customHeight="1" s="72">
      <c r="A34" s="76" t="inlineStr">
        <is>
          <t>Add: Investments (FY2026A)</t>
        </is>
      </c>
      <c r="C34" s="96">
        <f>BS!K8</f>
        <v/>
      </c>
    </row>
    <row r="35" ht="15" customHeight="1" s="72">
      <c r="A35" s="103" t="inlineStr">
        <is>
          <t>Equity Value</t>
        </is>
      </c>
      <c r="C35" s="110">
        <f>C31+C32+C33+C34</f>
        <v/>
      </c>
    </row>
    <row r="36" ht="15" customHeight="1" s="72">
      <c r="A36" s="76" t="inlineStr">
        <is>
          <t>Shares Outstanding (Cr)</t>
        </is>
      </c>
      <c r="C36" s="111">
        <f>Assumptions!$C$37</f>
        <v/>
      </c>
    </row>
    <row r="37" ht="15" customHeight="1" s="72">
      <c r="A37" s="103" t="inlineStr">
        <is>
          <t>Intrinsic Value per Share (₹)</t>
        </is>
      </c>
      <c r="C37" s="127">
        <f>C35/C36</f>
        <v/>
      </c>
    </row>
    <row r="38" ht="15" customHeight="1" s="72">
      <c r="A38" s="76" t="inlineStr">
        <is>
          <t>Current Market Price (₹)</t>
        </is>
      </c>
      <c r="C38" s="116">
        <f>Assumptions!$C$35</f>
        <v/>
      </c>
    </row>
    <row r="39" ht="15" customHeight="1" s="72">
      <c r="A39" s="103" t="inlineStr">
        <is>
          <t>Upside / (Downside) %</t>
        </is>
      </c>
      <c r="C39" s="128">
        <f>C37/C38-1</f>
        <v/>
      </c>
    </row>
    <row r="41" ht="18" customHeight="1" s="72">
      <c r="A41" s="77" t="inlineStr">
        <is>
          <t>SENSITIVITY ANALYSIS — INTRINSIC VALUE PER SHARE (₹)</t>
        </is>
      </c>
    </row>
    <row r="42" ht="15" customHeight="1" s="72">
      <c r="A42" s="129" t="inlineStr">
        <is>
          <t>WACC (↓) \ Terminal Growth (→)</t>
        </is>
      </c>
    </row>
    <row r="43" ht="15" customHeight="1" s="72">
      <c r="C43" s="130">
        <f>$C$22+-0.01</f>
        <v/>
      </c>
      <c r="D43" s="130">
        <f>$C$22+-0.005</f>
        <v/>
      </c>
      <c r="E43" s="130">
        <f>$C$22+0</f>
        <v/>
      </c>
      <c r="F43" s="130">
        <f>$C$22+0.005</f>
        <v/>
      </c>
      <c r="G43" s="130">
        <f>$C$22+0.01</f>
        <v/>
      </c>
    </row>
    <row r="44" ht="15" customHeight="1" s="72">
      <c r="B44" s="130">
        <f>$C$23+-0.01</f>
        <v/>
      </c>
      <c r="C44" s="113">
        <f>(SUMPRODUCT($L$16:$P$16,1/(1+$B44)^$L$15:$P$15)+($P$16*(1+C$43)/($B44-C$43))/(1+$B44)^$P$15+$C$32+$C$33+$C$34)/$C$36</f>
        <v/>
      </c>
      <c r="D44" s="113">
        <f>(SUMPRODUCT($L$16:$P$16,1/(1+$B44)^$L$15:$P$15)+($P$16*(1+D$43)/($B44-D$43))/(1+$B44)^$P$15+$C$32+$C$33+$C$34)/$C$36</f>
        <v/>
      </c>
      <c r="E44" s="113">
        <f>(SUMPRODUCT($L$16:$P$16,1/(1+$B44)^$L$15:$P$15)+($P$16*(1+E$43)/($B44-E$43))/(1+$B44)^$P$15+$C$32+$C$33+$C$34)/$C$36</f>
        <v/>
      </c>
      <c r="F44" s="113">
        <f>(SUMPRODUCT($L$16:$P$16,1/(1+$B44)^$L$15:$P$15)+($P$16*(1+F$43)/($B44-F$43))/(1+$B44)^$P$15+$C$32+$C$33+$C$34)/$C$36</f>
        <v/>
      </c>
      <c r="G44" s="113">
        <f>(SUMPRODUCT($L$16:$P$16,1/(1+$B44)^$L$15:$P$15)+($P$16*(1+G$43)/($B44-G$43))/(1+$B44)^$P$15+$C$32+$C$33+$C$34)/$C$36</f>
        <v/>
      </c>
    </row>
    <row r="45" ht="15" customHeight="1" s="72">
      <c r="B45" s="130">
        <f>$C$23+-0.005</f>
        <v/>
      </c>
      <c r="C45" s="113">
        <f>(SUMPRODUCT($L$16:$P$16,1/(1+$B45)^$L$15:$P$15)+($P$16*(1+C$43)/($B45-C$43))/(1+$B45)^$P$15+$C$32+$C$33+$C$34)/$C$36</f>
        <v/>
      </c>
      <c r="D45" s="113">
        <f>(SUMPRODUCT($L$16:$P$16,1/(1+$B45)^$L$15:$P$15)+($P$16*(1+D$43)/($B45-D$43))/(1+$B45)^$P$15+$C$32+$C$33+$C$34)/$C$36</f>
        <v/>
      </c>
      <c r="E45" s="113">
        <f>(SUMPRODUCT($L$16:$P$16,1/(1+$B45)^$L$15:$P$15)+($P$16*(1+E$43)/($B45-E$43))/(1+$B45)^$P$15+$C$32+$C$33+$C$34)/$C$36</f>
        <v/>
      </c>
      <c r="F45" s="113">
        <f>(SUMPRODUCT($L$16:$P$16,1/(1+$B45)^$L$15:$P$15)+($P$16*(1+F$43)/($B45-F$43))/(1+$B45)^$P$15+$C$32+$C$33+$C$34)/$C$36</f>
        <v/>
      </c>
      <c r="G45" s="113">
        <f>(SUMPRODUCT($L$16:$P$16,1/(1+$B45)^$L$15:$P$15)+($P$16*(1+G$43)/($B45-G$43))/(1+$B45)^$P$15+$C$32+$C$33+$C$34)/$C$36</f>
        <v/>
      </c>
    </row>
    <row r="46" ht="15" customHeight="1" s="72">
      <c r="B46" s="130">
        <f>$C$23+0</f>
        <v/>
      </c>
      <c r="C46" s="113">
        <f>(SUMPRODUCT($L$16:$P$16,1/(1+$B46)^$L$15:$P$15)+($P$16*(1+C$43)/($B46-C$43))/(1+$B46)^$P$15+$C$32+$C$33+$C$34)/$C$36</f>
        <v/>
      </c>
      <c r="D46" s="113">
        <f>(SUMPRODUCT($L$16:$P$16,1/(1+$B46)^$L$15:$P$15)+($P$16*(1+D$43)/($B46-D$43))/(1+$B46)^$P$15+$C$32+$C$33+$C$34)/$C$36</f>
        <v/>
      </c>
      <c r="E46" s="131">
        <f>(SUMPRODUCT($L$16:$P$16,1/(1+$B46)^$L$15:$P$15)+($P$16*(1+E$43)/($B46-E$43))/(1+$B46)^$P$15+$C$32+$C$33+$C$34)/$C$36</f>
        <v/>
      </c>
      <c r="F46" s="113">
        <f>(SUMPRODUCT($L$16:$P$16,1/(1+$B46)^$L$15:$P$15)+($P$16*(1+F$43)/($B46-F$43))/(1+$B46)^$P$15+$C$32+$C$33+$C$34)/$C$36</f>
        <v/>
      </c>
      <c r="G46" s="113">
        <f>(SUMPRODUCT($L$16:$P$16,1/(1+$B46)^$L$15:$P$15)+($P$16*(1+G$43)/($B46-G$43))/(1+$B46)^$P$15+$C$32+$C$33+$C$34)/$C$36</f>
        <v/>
      </c>
    </row>
    <row r="47" ht="15" customHeight="1" s="72">
      <c r="B47" s="130">
        <f>$C$23+0.005</f>
        <v/>
      </c>
      <c r="C47" s="113">
        <f>(SUMPRODUCT($L$16:$P$16,1/(1+$B47)^$L$15:$P$15)+($P$16*(1+C$43)/($B47-C$43))/(1+$B47)^$P$15+$C$32+$C$33+$C$34)/$C$36</f>
        <v/>
      </c>
      <c r="D47" s="113">
        <f>(SUMPRODUCT($L$16:$P$16,1/(1+$B47)^$L$15:$P$15)+($P$16*(1+D$43)/($B47-D$43))/(1+$B47)^$P$15+$C$32+$C$33+$C$34)/$C$36</f>
        <v/>
      </c>
      <c r="E47" s="113">
        <f>(SUMPRODUCT($L$16:$P$16,1/(1+$B47)^$L$15:$P$15)+($P$16*(1+E$43)/($B47-E$43))/(1+$B47)^$P$15+$C$32+$C$33+$C$34)/$C$36</f>
        <v/>
      </c>
      <c r="F47" s="113">
        <f>(SUMPRODUCT($L$16:$P$16,1/(1+$B47)^$L$15:$P$15)+($P$16*(1+F$43)/($B47-F$43))/(1+$B47)^$P$15+$C$32+$C$33+$C$34)/$C$36</f>
        <v/>
      </c>
      <c r="G47" s="113">
        <f>(SUMPRODUCT($L$16:$P$16,1/(1+$B47)^$L$15:$P$15)+($P$16*(1+G$43)/($B47-G$43))/(1+$B47)^$P$15+$C$32+$C$33+$C$34)/$C$36</f>
        <v/>
      </c>
    </row>
    <row r="48" ht="15" customHeight="1" s="72">
      <c r="B48" s="130">
        <f>$C$23+0.01</f>
        <v/>
      </c>
      <c r="C48" s="113">
        <f>(SUMPRODUCT($L$16:$P$16,1/(1+$B48)^$L$15:$P$15)+($P$16*(1+C$43)/($B48-C$43))/(1+$B48)^$P$15+$C$32+$C$33+$C$34)/$C$36</f>
        <v/>
      </c>
      <c r="D48" s="113">
        <f>(SUMPRODUCT($L$16:$P$16,1/(1+$B48)^$L$15:$P$15)+($P$16*(1+D$43)/($B48-D$43))/(1+$B48)^$P$15+$C$32+$C$33+$C$34)/$C$36</f>
        <v/>
      </c>
      <c r="E48" s="113">
        <f>(SUMPRODUCT($L$16:$P$16,1/(1+$B48)^$L$15:$P$15)+($P$16*(1+E$43)/($B48-E$43))/(1+$B48)^$P$15+$C$32+$C$33+$C$34)/$C$36</f>
        <v/>
      </c>
      <c r="F48" s="113">
        <f>(SUMPRODUCT($L$16:$P$16,1/(1+$B48)^$L$15:$P$15)+($P$16*(1+F$43)/($B48-F$43))/(1+$B48)^$P$15+$C$32+$C$33+$C$34)/$C$36</f>
        <v/>
      </c>
      <c r="G48" s="113">
        <f>(SUMPRODUCT($L$16:$P$16,1/(1+$B48)^$L$15:$P$15)+($P$16*(1+G$43)/($B48-G$43))/(1+$B48)^$P$15+$C$32+$C$33+$C$34)/$C$36</f>
        <v/>
      </c>
    </row>
  </sheetData>
  <mergeCells count="5">
    <mergeCell ref="A28:F28"/>
    <mergeCell ref="A14:P14"/>
    <mergeCell ref="A4:P4"/>
    <mergeCell ref="A20:P20"/>
    <mergeCell ref="A41:P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tabColor rgb="FFC00000"/>
    <outlinePr summaryBelow="1" summaryRight="1"/>
    <pageSetUpPr fitToPage="0"/>
  </sheetPr>
  <dimension ref="A1:G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71" min="1" max="1"/>
    <col width="16" customWidth="1" style="71" min="2" max="2"/>
    <col width="12" customWidth="1" style="71" min="3" max="7"/>
  </cols>
  <sheetData>
    <row r="1" ht="17.35" customHeight="1" s="72">
      <c r="A1" s="82" t="inlineStr">
        <is>
          <t>Relative Valuation — Peer Comparison</t>
        </is>
      </c>
    </row>
    <row r="2" ht="15" customHeight="1" s="72">
      <c r="A2" s="102" t="inlineStr">
        <is>
          <t>Trailing multiples, Health Technology (Nifty Pharma) peer set</t>
        </is>
      </c>
    </row>
    <row r="4" ht="18" customHeight="1" s="72">
      <c r="A4" s="77" t="inlineStr">
        <is>
          <t>PEER TRADING MULTIPLES (TRAILING)</t>
        </is>
      </c>
    </row>
    <row r="5" ht="15" customHeight="1" s="72">
      <c r="A5" s="132" t="inlineStr">
        <is>
          <t>Company</t>
        </is>
      </c>
      <c r="B5" s="132" t="inlineStr">
        <is>
          <t>Mkt Cap (₹ Cr)</t>
        </is>
      </c>
      <c r="C5" s="132" t="inlineStr">
        <is>
          <t>P/E (x)</t>
        </is>
      </c>
      <c r="D5" s="132" t="inlineStr">
        <is>
          <t>EV/EBITDA (x)</t>
        </is>
      </c>
      <c r="E5" s="132" t="inlineStr">
        <is>
          <t>P/B (x)</t>
        </is>
      </c>
      <c r="F5" s="132" t="inlineStr">
        <is>
          <t>ROE %</t>
        </is>
      </c>
    </row>
    <row r="6" ht="15" customHeight="1" s="72">
      <c r="A6" s="76" t="inlineStr">
        <is>
          <t>SUN PHARMACEUTICAL INDUSTRIES LTD</t>
        </is>
      </c>
      <c r="B6" s="96">
        <f>Assumptions!C36</f>
        <v/>
      </c>
      <c r="C6" s="122">
        <f>Ratios!K33</f>
        <v/>
      </c>
      <c r="D6" s="122">
        <f>Ratios!K38</f>
        <v/>
      </c>
      <c r="E6" s="122">
        <f>Ratios!K35</f>
        <v/>
      </c>
      <c r="F6" s="86">
        <f>Ratios!K15</f>
        <v/>
      </c>
    </row>
    <row r="7" ht="15" customHeight="1" s="72">
      <c r="A7" s="76" t="inlineStr">
        <is>
          <t>Dr. Reddy's Laboratories Limited (DRREDDY)</t>
        </is>
      </c>
      <c r="B7" s="146" t="n">
        <v>102106</v>
      </c>
      <c r="C7" s="147" t="n">
        <v>23.58999528667531</v>
      </c>
      <c r="D7" s="147" t="n">
        <v>14.695</v>
      </c>
      <c r="E7" s="147" t="n">
        <v>2.6747696</v>
      </c>
      <c r="F7" s="148" t="n">
        <v>0.1206</v>
      </c>
    </row>
    <row r="8" ht="15" customHeight="1" s="72">
      <c r="A8" s="76" t="inlineStr">
        <is>
          <t>Cipla Limited (CIPLA)</t>
        </is>
      </c>
      <c r="B8" s="146" t="n">
        <v>115477</v>
      </c>
      <c r="C8" s="147" t="n">
        <v>29.55625</v>
      </c>
      <c r="D8" s="147" t="n">
        <v>18.142</v>
      </c>
      <c r="E8" s="147" t="n">
        <v>3.32830759746326</v>
      </c>
      <c r="F8" s="148" t="n">
        <v>0.1182</v>
      </c>
    </row>
    <row r="9" ht="15" customHeight="1" s="72">
      <c r="A9" s="76" t="n"/>
      <c r="B9" s="79" t="n"/>
      <c r="C9" s="133" t="n"/>
      <c r="D9" s="133" t="n"/>
      <c r="E9" s="133" t="n"/>
      <c r="F9" s="134" t="n"/>
    </row>
    <row r="10" ht="15" customHeight="1" s="72">
      <c r="A10" s="103" t="inlineStr">
        <is>
          <t>Peer Average (excl. SUN PHARMACEUTICAL INDUSTRIES LTD)</t>
        </is>
      </c>
      <c r="B10" s="104">
        <f>IFERROR(AVERAGE(B7:B9),"n/a")</f>
        <v/>
      </c>
      <c r="C10" s="124">
        <f>IFERROR(AVERAGE(C7:C9),"n/a")</f>
        <v/>
      </c>
      <c r="D10" s="124">
        <f>IFERROR(AVERAGE(D7:D9),"n/a")</f>
        <v/>
      </c>
      <c r="E10" s="124">
        <f>IFERROR(AVERAGE(E7:E9),"n/a")</f>
        <v/>
      </c>
      <c r="F10" s="128">
        <f>IFERROR(AVERAGE(F7:F9),"n/a")</f>
        <v/>
      </c>
    </row>
    <row r="12" ht="18" customHeight="1" s="72">
      <c r="A12" s="77" t="inlineStr">
        <is>
          <t>IMPLIED VALUATION — SUN PHARMACEUTICAL INDUSTRIES LTD AT PEER-AVERAGE MULTIPLES</t>
        </is>
      </c>
    </row>
    <row r="13" ht="15" customHeight="1" s="72">
      <c r="A13" s="135" t="inlineStr">
        <is>
          <t>Basis</t>
        </is>
      </c>
      <c r="B13" s="135" t="inlineStr">
        <is>
          <t>Multiple (x)</t>
        </is>
      </c>
      <c r="C13" s="135" t="inlineStr">
        <is>
          <t>SUN PHARMACEUTICAL INDUSTRIES LTD Metric (FY2026A, ₹ Cr)</t>
        </is>
      </c>
      <c r="D13" s="135" t="inlineStr">
        <is>
          <t>Implied Value</t>
        </is>
      </c>
    </row>
    <row r="14" ht="15" customHeight="1" s="72">
      <c r="A14" s="76" t="inlineStr">
        <is>
          <t>P/E × FY2026A EPS</t>
        </is>
      </c>
      <c r="B14" s="136">
        <f>C10</f>
        <v/>
      </c>
      <c r="C14" s="116">
        <f>IS!K31</f>
        <v/>
      </c>
      <c r="D14" s="112">
        <f>IFERROR(B14*C14,"Enter peer data")</f>
        <v/>
      </c>
    </row>
    <row r="15" ht="15" customHeight="1" s="72">
      <c r="A15" s="76" t="inlineStr">
        <is>
          <t>EV/EBITDA × FY2026A EBITDA (→ per share)</t>
        </is>
      </c>
      <c r="B15" s="136">
        <f>D10</f>
        <v/>
      </c>
      <c r="C15" s="96">
        <f>IS!K15</f>
        <v/>
      </c>
      <c r="D15" s="112">
        <f>IFERROR((B15*C15-BS!K18+BS!K11+BS!K8)/Assumptions!$C$37,"Enter peer data")</f>
        <v/>
      </c>
    </row>
    <row r="17" ht="15" customHeight="1" s="72">
      <c r="A17" s="76" t="inlineStr">
        <is>
          <t>Current Market Price (₹)</t>
        </is>
      </c>
      <c r="D17" s="116">
        <f>Assumptions!$C$35</f>
        <v/>
      </c>
    </row>
    <row r="18" ht="15" customHeight="1" s="72">
      <c r="A18" s="76" t="inlineStr">
        <is>
          <t>DCF Intrinsic Value (₹) — see DCF sheet</t>
        </is>
      </c>
      <c r="D18" s="116">
        <f>DCF!C37</f>
        <v/>
      </c>
    </row>
  </sheetData>
  <mergeCells count="2">
    <mergeCell ref="A12:G12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71" min="1" max="1"/>
    <col width="10" customWidth="1" style="71" min="2" max="16"/>
  </cols>
  <sheetData>
    <row r="1" ht="19.7" customHeight="1" s="72">
      <c r="A1" s="137" t="inlineStr">
        <is>
          <t>SUN PHARMACEUTICAL INDUSTRIES LTD — VALUATION DASHBOARD</t>
        </is>
      </c>
    </row>
    <row r="2" ht="15" customHeight="1" s="72">
      <c r="A2" s="102" t="inlineStr">
        <is>
          <t>Summary of Key Outputs</t>
        </is>
      </c>
    </row>
    <row r="4" ht="18" customHeight="1" s="72">
      <c r="A4" s="77" t="inlineStr">
        <is>
          <t>VALUATION SUMMARY (₹ per share)</t>
        </is>
      </c>
    </row>
    <row r="5" ht="15" customHeight="1" s="72">
      <c r="A5" s="78" t="inlineStr">
        <is>
          <t>Current Market Price</t>
        </is>
      </c>
      <c r="C5" s="116">
        <f>Assumptions!$C$35</f>
        <v/>
      </c>
    </row>
    <row r="6" ht="15" customHeight="1" s="72">
      <c r="A6" s="78" t="inlineStr">
        <is>
          <t>DCF Intrinsic Value (Base Case)</t>
        </is>
      </c>
      <c r="C6" s="116">
        <f>DCF!C37</f>
        <v/>
      </c>
    </row>
    <row r="7" ht="15" customHeight="1" s="72">
      <c r="A7" s="78" t="inlineStr">
        <is>
          <t>Implied Value — Peer P/E</t>
        </is>
      </c>
      <c r="C7" s="116">
        <f>Comps!D14</f>
        <v/>
      </c>
    </row>
    <row r="8" ht="15" customHeight="1" s="72">
      <c r="A8" s="78" t="inlineStr">
        <is>
          <t>Implied Value — Peer EV/EBITDA</t>
        </is>
      </c>
      <c r="C8" s="116">
        <f>Comps!D15</f>
        <v/>
      </c>
    </row>
    <row r="9" ht="15" customHeight="1" s="72">
      <c r="A9" s="93" t="inlineStr">
        <is>
          <t>DCF Upside / (Downside) vs. CMP</t>
        </is>
      </c>
      <c r="C9" s="138">
        <f>C6/C5-1</f>
        <v/>
      </c>
    </row>
    <row r="11" ht="18" customHeight="1" s="72">
      <c r="A11" s="77" t="inlineStr">
        <is>
          <t>KEY OPERATING METRICS (FY2026A vs. FY2031E)</t>
        </is>
      </c>
    </row>
    <row r="12" ht="15" customHeight="1" s="72">
      <c r="A12" s="103" t="inlineStr">
        <is>
          <t>Metric</t>
        </is>
      </c>
      <c r="B12" s="139" t="inlineStr">
        <is>
          <t>FY2026A</t>
        </is>
      </c>
      <c r="C12" s="139" t="inlineStr">
        <is>
          <t>FY2031E</t>
        </is>
      </c>
    </row>
    <row r="13" ht="15" customHeight="1" s="72">
      <c r="A13" s="78" t="inlineStr">
        <is>
          <t>Revenue (₹ Cr)</t>
        </is>
      </c>
      <c r="B13" s="96">
        <f>IS!K6</f>
        <v/>
      </c>
      <c r="C13" s="96">
        <f>IS!P6</f>
        <v/>
      </c>
    </row>
    <row r="14" ht="15" customHeight="1" s="72">
      <c r="A14" s="78" t="inlineStr">
        <is>
          <t>EBITDA (₹ Cr)</t>
        </is>
      </c>
      <c r="B14" s="96">
        <f>IS!K15</f>
        <v/>
      </c>
      <c r="C14" s="96">
        <f>IS!P15</f>
        <v/>
      </c>
    </row>
    <row r="15" ht="15" customHeight="1" s="72">
      <c r="A15" s="78" t="inlineStr">
        <is>
          <t>EBITDA Margin %</t>
        </is>
      </c>
      <c r="B15" s="86">
        <f>IS!K16</f>
        <v/>
      </c>
      <c r="C15" s="86">
        <f>IS!P16</f>
        <v/>
      </c>
    </row>
    <row r="16" ht="15" customHeight="1" s="72">
      <c r="A16" s="78" t="inlineStr">
        <is>
          <t>Net Profit (₹ Cr)</t>
        </is>
      </c>
      <c r="B16" s="96">
        <f>IS!K24</f>
        <v/>
      </c>
      <c r="C16" s="96">
        <f>IS!P24</f>
        <v/>
      </c>
    </row>
    <row r="17" ht="15" customHeight="1" s="72">
      <c r="A17" s="78" t="inlineStr">
        <is>
          <t>EPS (₹)</t>
        </is>
      </c>
      <c r="B17" s="116">
        <f>IS!K31</f>
        <v/>
      </c>
      <c r="C17" s="116">
        <f>IS!P31</f>
        <v/>
      </c>
    </row>
    <row r="18" ht="15" customHeight="1" s="72">
      <c r="A18" s="78" t="inlineStr">
        <is>
          <t>ROE %</t>
        </is>
      </c>
      <c r="B18" s="86">
        <f>Ratios!K15</f>
        <v/>
      </c>
      <c r="C18" s="86">
        <f>Ratios!P15</f>
        <v/>
      </c>
    </row>
    <row r="19" ht="15" customHeight="1" s="72">
      <c r="A19" s="93" t="inlineStr">
        <is>
          <t>Revenue CAGR FY2026A–FY2031E</t>
        </is>
      </c>
      <c r="C19" s="128">
        <f>(IS!P6/IS!K6)^(1/5)-1</f>
        <v/>
      </c>
    </row>
    <row r="21" ht="18" customHeight="1" s="72">
      <c r="A21" s="77" t="inlineStr">
        <is>
          <t>REVENUE &amp; EBITDA TREND (₹ CRORE)</t>
        </is>
      </c>
    </row>
    <row r="22" ht="15" customHeight="1" s="72">
      <c r="A22" s="84" t="inlineStr">
        <is>
          <t>(chart below — historical FY2017 to projected FY2031E)</t>
        </is>
      </c>
    </row>
  </sheetData>
  <mergeCells count="5">
    <mergeCell ref="A11:F11"/>
    <mergeCell ref="A2:H2"/>
    <mergeCell ref="A4:F4"/>
    <mergeCell ref="A1:H1"/>
    <mergeCell ref="A21:F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2026-07-06T10:28:13Z</dcterms:created>
  <dcterms:modified xsi:type="dcterms:W3CDTF">2026-07-18T18:13:44Z</dcterms:modified>
  <cp:revision>2</cp:revision>
</cp:coreProperties>
</file>